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384" yWindow="84" windowWidth="16260" windowHeight="5856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J28" i="1" l="1"/>
  <c r="V21" i="1"/>
  <c r="G11" i="1" l="1"/>
  <c r="H11" i="1"/>
  <c r="I11" i="1"/>
  <c r="J11" i="1"/>
  <c r="L11" i="1"/>
  <c r="M11" i="1"/>
  <c r="M55" i="1" s="1"/>
  <c r="N11" i="1"/>
  <c r="O11" i="1"/>
  <c r="Q11" i="1"/>
  <c r="R11" i="1"/>
  <c r="S11" i="1"/>
  <c r="T11" i="1"/>
  <c r="V11" i="1"/>
  <c r="W11" i="1"/>
  <c r="W66" i="1" s="1"/>
  <c r="X11" i="1"/>
  <c r="Y11" i="1"/>
  <c r="K91" i="1"/>
  <c r="P91" i="1"/>
  <c r="U91" i="1"/>
  <c r="K90" i="1"/>
  <c r="P90" i="1"/>
  <c r="U90" i="1"/>
  <c r="AG79" i="1"/>
  <c r="H79" i="1"/>
  <c r="I79" i="1"/>
  <c r="J79" i="1"/>
  <c r="K79" i="1"/>
  <c r="L79" i="1"/>
  <c r="N79" i="1"/>
  <c r="O79" i="1"/>
  <c r="P79" i="1"/>
  <c r="Q79" i="1"/>
  <c r="R79" i="1"/>
  <c r="S79" i="1"/>
  <c r="T79" i="1"/>
  <c r="U79" i="1"/>
  <c r="V79" i="1"/>
  <c r="X79" i="1"/>
  <c r="Y79" i="1"/>
  <c r="G79" i="1"/>
  <c r="K78" i="1"/>
  <c r="P78" i="1"/>
  <c r="U78" i="1"/>
  <c r="AG66" i="1"/>
  <c r="K67" i="1"/>
  <c r="P67" i="1"/>
  <c r="U67" i="1"/>
  <c r="H66" i="1"/>
  <c r="I66" i="1"/>
  <c r="J66" i="1"/>
  <c r="K66" i="1"/>
  <c r="L66" i="1"/>
  <c r="N66" i="1"/>
  <c r="O66" i="1"/>
  <c r="P66" i="1"/>
  <c r="Q66" i="1"/>
  <c r="R66" i="1"/>
  <c r="S66" i="1"/>
  <c r="T66" i="1"/>
  <c r="U66" i="1"/>
  <c r="V66" i="1"/>
  <c r="X66" i="1"/>
  <c r="Y66" i="1"/>
  <c r="G66" i="1"/>
  <c r="AG55" i="1"/>
  <c r="G55" i="1"/>
  <c r="H55" i="1"/>
  <c r="I55" i="1"/>
  <c r="J55" i="1"/>
  <c r="K55" i="1"/>
  <c r="L55" i="1"/>
  <c r="N55" i="1"/>
  <c r="O55" i="1"/>
  <c r="P55" i="1"/>
  <c r="Q55" i="1"/>
  <c r="R55" i="1"/>
  <c r="S55" i="1"/>
  <c r="T55" i="1"/>
  <c r="U55" i="1"/>
  <c r="V55" i="1"/>
  <c r="W55" i="1"/>
  <c r="X55" i="1"/>
  <c r="Y55" i="1"/>
  <c r="K54" i="1"/>
  <c r="P54" i="1"/>
  <c r="U54" i="1"/>
  <c r="K43" i="1"/>
  <c r="P43" i="1"/>
  <c r="U43" i="1"/>
  <c r="K42" i="1"/>
  <c r="P42" i="1"/>
  <c r="U42" i="1"/>
  <c r="K31" i="1"/>
  <c r="P31" i="1"/>
  <c r="U31" i="1"/>
  <c r="K30" i="1"/>
  <c r="P30" i="1"/>
  <c r="U30" i="1"/>
  <c r="K19" i="1"/>
  <c r="P19" i="1"/>
  <c r="U19" i="1"/>
  <c r="K18" i="1"/>
  <c r="P18" i="1"/>
  <c r="U18" i="1"/>
  <c r="M66" i="1" l="1"/>
  <c r="W79" i="1"/>
  <c r="M79" i="1"/>
  <c r="C8" i="1"/>
  <c r="I8" i="1" s="1"/>
  <c r="C7" i="1"/>
  <c r="I7" i="1" s="1"/>
  <c r="C6" i="1"/>
  <c r="AG91" i="1" s="1"/>
  <c r="C5" i="1"/>
  <c r="C4" i="1"/>
  <c r="AG78" i="1" s="1"/>
  <c r="AG81" i="1" s="1"/>
  <c r="I6" i="1" l="1"/>
  <c r="AG31" i="1"/>
  <c r="J4" i="1"/>
  <c r="AG18" i="1"/>
  <c r="I5" i="1"/>
  <c r="AG30" i="1"/>
  <c r="AG19" i="1"/>
  <c r="AG42" i="1"/>
  <c r="V4" i="1"/>
  <c r="L4" i="1"/>
  <c r="G4" i="1"/>
  <c r="S4" i="1"/>
  <c r="I4" i="1"/>
  <c r="C10" i="1"/>
  <c r="R4" i="1"/>
  <c r="H4" i="1"/>
  <c r="Q4" i="1"/>
  <c r="Y4" i="1"/>
  <c r="Y10" i="1" s="1"/>
  <c r="O4" i="1"/>
  <c r="X4" i="1"/>
  <c r="N4" i="1"/>
  <c r="W4" i="1"/>
  <c r="M4" i="1"/>
  <c r="T4" i="1"/>
  <c r="L8" i="1"/>
  <c r="V7" i="1"/>
  <c r="L7" i="1"/>
  <c r="V6" i="1"/>
  <c r="L6" i="1"/>
  <c r="V5" i="1"/>
  <c r="L5" i="1"/>
  <c r="V8" i="1"/>
  <c r="C12" i="1"/>
  <c r="AG67" i="1" s="1"/>
  <c r="AG69" i="1" s="1"/>
  <c r="R8" i="1"/>
  <c r="H8" i="1"/>
  <c r="R7" i="1"/>
  <c r="H7" i="1"/>
  <c r="R6" i="1"/>
  <c r="H6" i="1"/>
  <c r="R5" i="1"/>
  <c r="H5" i="1"/>
  <c r="C11" i="1"/>
  <c r="Q8" i="1"/>
  <c r="G8" i="1"/>
  <c r="Q7" i="1"/>
  <c r="G7" i="1"/>
  <c r="Q6" i="1"/>
  <c r="G6" i="1"/>
  <c r="Q5" i="1"/>
  <c r="G5" i="1"/>
  <c r="Y8" i="1"/>
  <c r="Y14" i="1" s="1"/>
  <c r="O8" i="1"/>
  <c r="Y7" i="1"/>
  <c r="Y13" i="1" s="1"/>
  <c r="O7" i="1"/>
  <c r="Y6" i="1"/>
  <c r="Y12" i="1" s="1"/>
  <c r="O6" i="1"/>
  <c r="Y5" i="1"/>
  <c r="O5" i="1"/>
  <c r="X8" i="1"/>
  <c r="N8" i="1"/>
  <c r="X7" i="1"/>
  <c r="N7" i="1"/>
  <c r="X6" i="1"/>
  <c r="N6" i="1"/>
  <c r="X5" i="1"/>
  <c r="N5" i="1"/>
  <c r="C9" i="1"/>
  <c r="W8" i="1"/>
  <c r="M8" i="1"/>
  <c r="W7" i="1"/>
  <c r="M7" i="1"/>
  <c r="W6" i="1"/>
  <c r="M6" i="1"/>
  <c r="W5" i="1"/>
  <c r="M5" i="1"/>
  <c r="C14" i="1"/>
  <c r="AG90" i="1" s="1"/>
  <c r="AG93" i="1" s="1"/>
  <c r="T8" i="1"/>
  <c r="J8" i="1"/>
  <c r="T7" i="1"/>
  <c r="J7" i="1"/>
  <c r="T6" i="1"/>
  <c r="J6" i="1"/>
  <c r="T5" i="1"/>
  <c r="J5" i="1"/>
  <c r="C13" i="1"/>
  <c r="S8" i="1"/>
  <c r="S7" i="1"/>
  <c r="S6" i="1"/>
  <c r="S5" i="1"/>
  <c r="O18" i="1" l="1"/>
  <c r="O78" i="1"/>
  <c r="J31" i="1"/>
  <c r="J91" i="1"/>
  <c r="Y18" i="1"/>
  <c r="Y78" i="1"/>
  <c r="L18" i="1"/>
  <c r="L78" i="1"/>
  <c r="J18" i="1"/>
  <c r="J78" i="1"/>
  <c r="T31" i="1"/>
  <c r="T91" i="1"/>
  <c r="M31" i="1"/>
  <c r="M91" i="1"/>
  <c r="Q18" i="1"/>
  <c r="Q78" i="1"/>
  <c r="V18" i="1"/>
  <c r="V78" i="1"/>
  <c r="I31" i="1"/>
  <c r="I91" i="1"/>
  <c r="S31" i="1"/>
  <c r="S91" i="1"/>
  <c r="W31" i="1"/>
  <c r="W91" i="1"/>
  <c r="N31" i="1"/>
  <c r="N91" i="1"/>
  <c r="O31" i="1"/>
  <c r="O91" i="1"/>
  <c r="G31" i="1"/>
  <c r="G91" i="1"/>
  <c r="T18" i="1"/>
  <c r="T78" i="1"/>
  <c r="H18" i="1"/>
  <c r="H78" i="1"/>
  <c r="G18" i="1"/>
  <c r="G78" i="1"/>
  <c r="AI78" i="1" s="1"/>
  <c r="X31" i="1"/>
  <c r="X91" i="1"/>
  <c r="Y31" i="1"/>
  <c r="Y91" i="1"/>
  <c r="Q31" i="1"/>
  <c r="Q91" i="1"/>
  <c r="H31" i="1"/>
  <c r="H91" i="1"/>
  <c r="M18" i="1"/>
  <c r="M78" i="1"/>
  <c r="R18" i="1"/>
  <c r="R78" i="1"/>
  <c r="R31" i="1"/>
  <c r="R91" i="1"/>
  <c r="W18" i="1"/>
  <c r="W78" i="1"/>
  <c r="AG43" i="1"/>
  <c r="AG45" i="1" s="1"/>
  <c r="AG54" i="1"/>
  <c r="AG57" i="1" s="1"/>
  <c r="AG33" i="1"/>
  <c r="L31" i="1"/>
  <c r="L91" i="1"/>
  <c r="N18" i="1"/>
  <c r="N78" i="1"/>
  <c r="I18" i="1"/>
  <c r="I78" i="1"/>
  <c r="V31" i="1"/>
  <c r="V91" i="1"/>
  <c r="X18" i="1"/>
  <c r="X78" i="1"/>
  <c r="S18" i="1"/>
  <c r="S78" i="1"/>
  <c r="T30" i="1"/>
  <c r="T19" i="1"/>
  <c r="T42" i="1"/>
  <c r="W42" i="1"/>
  <c r="W30" i="1"/>
  <c r="W19" i="1"/>
  <c r="N42" i="1"/>
  <c r="N30" i="1"/>
  <c r="N19" i="1"/>
  <c r="O42" i="1"/>
  <c r="O30" i="1"/>
  <c r="O19" i="1"/>
  <c r="G42" i="1"/>
  <c r="G19" i="1"/>
  <c r="G30" i="1"/>
  <c r="X42" i="1"/>
  <c r="X30" i="1"/>
  <c r="X19" i="1"/>
  <c r="Y42" i="1"/>
  <c r="Y30" i="1"/>
  <c r="Y19" i="1"/>
  <c r="Q30" i="1"/>
  <c r="Q42" i="1"/>
  <c r="Q19" i="1"/>
  <c r="H42" i="1"/>
  <c r="H30" i="1"/>
  <c r="H19" i="1"/>
  <c r="I42" i="1"/>
  <c r="I30" i="1"/>
  <c r="I19" i="1"/>
  <c r="R42" i="1"/>
  <c r="R30" i="1"/>
  <c r="R19" i="1"/>
  <c r="AG21" i="1"/>
  <c r="M42" i="1"/>
  <c r="M30" i="1"/>
  <c r="M19" i="1"/>
  <c r="L30" i="1"/>
  <c r="L19" i="1"/>
  <c r="L42" i="1"/>
  <c r="J42" i="1"/>
  <c r="J30" i="1"/>
  <c r="J19" i="1"/>
  <c r="V42" i="1"/>
  <c r="V30" i="1"/>
  <c r="V19" i="1"/>
  <c r="S42" i="1"/>
  <c r="S30" i="1"/>
  <c r="S19" i="1"/>
  <c r="BB10" i="1"/>
  <c r="BA10" i="1" s="1"/>
  <c r="AZ10" i="1" s="1"/>
  <c r="V10" i="1" s="1"/>
  <c r="BB12" i="1"/>
  <c r="BA12" i="1" s="1"/>
  <c r="AZ12" i="1" s="1"/>
  <c r="AY12" i="1" s="1"/>
  <c r="AW12" i="1" s="1"/>
  <c r="AV12" i="1" s="1"/>
  <c r="R12" i="1" s="1"/>
  <c r="Y67" i="1"/>
  <c r="BB13" i="1"/>
  <c r="BA13" i="1" s="1"/>
  <c r="AZ13" i="1" s="1"/>
  <c r="AY13" i="1" s="1"/>
  <c r="AW13" i="1" s="1"/>
  <c r="AV13" i="1" s="1"/>
  <c r="R13" i="1" s="1"/>
  <c r="BB14" i="1"/>
  <c r="BA14" i="1" s="1"/>
  <c r="AZ14" i="1" s="1"/>
  <c r="AY14" i="1" s="1"/>
  <c r="AW14" i="1" s="1"/>
  <c r="AV14" i="1" s="1"/>
  <c r="R14" i="1" s="1"/>
  <c r="Y90" i="1"/>
  <c r="BB11" i="1"/>
  <c r="BA11" i="1" s="1"/>
  <c r="AZ11" i="1" s="1"/>
  <c r="AY11" i="1" s="1"/>
  <c r="AW11" i="1" s="1"/>
  <c r="AV11" i="1" s="1"/>
  <c r="I9" i="1"/>
  <c r="S9" i="1"/>
  <c r="J9" i="1"/>
  <c r="T9" i="1"/>
  <c r="M9" i="1"/>
  <c r="W9" i="1"/>
  <c r="X9" i="1"/>
  <c r="C15" i="1"/>
  <c r="N9" i="1"/>
  <c r="V9" i="1"/>
  <c r="O9" i="1"/>
  <c r="Y9" i="1"/>
  <c r="Y15" i="1" s="1"/>
  <c r="L9" i="1"/>
  <c r="G9" i="1"/>
  <c r="Q9" i="1"/>
  <c r="H9" i="1"/>
  <c r="R9" i="1"/>
  <c r="T14" i="1" l="1"/>
  <c r="X12" i="1"/>
  <c r="S14" i="1"/>
  <c r="W14" i="1"/>
  <c r="T12" i="1"/>
  <c r="T67" i="1" s="1"/>
  <c r="W13" i="1"/>
  <c r="W12" i="1"/>
  <c r="T13" i="1"/>
  <c r="X10" i="1"/>
  <c r="X13" i="1"/>
  <c r="W10" i="1"/>
  <c r="S13" i="1"/>
  <c r="V14" i="1"/>
  <c r="V90" i="1" s="1"/>
  <c r="V13" i="1"/>
  <c r="V12" i="1"/>
  <c r="V67" i="1" s="1"/>
  <c r="X14" i="1"/>
  <c r="X90" i="1" s="1"/>
  <c r="BA92" i="1" s="1"/>
  <c r="S12" i="1"/>
  <c r="S67" i="1" s="1"/>
  <c r="AI30" i="1"/>
  <c r="Y21" i="1"/>
  <c r="Y24" i="1" s="1"/>
  <c r="AI18" i="1"/>
  <c r="Y43" i="1"/>
  <c r="Y45" i="1" s="1"/>
  <c r="Y54" i="1"/>
  <c r="Y81" i="1"/>
  <c r="BB80" i="1"/>
  <c r="BA80" i="1" s="1"/>
  <c r="AZ80" i="1" s="1"/>
  <c r="Y93" i="1"/>
  <c r="BB92" i="1"/>
  <c r="Y69" i="1"/>
  <c r="BB68" i="1"/>
  <c r="BB20" i="1"/>
  <c r="BA20" i="1" s="1"/>
  <c r="W21" i="1" s="1"/>
  <c r="Y33" i="1"/>
  <c r="BB32" i="1"/>
  <c r="BA32" i="1" s="1"/>
  <c r="AZ32" i="1" s="1"/>
  <c r="AY10" i="1"/>
  <c r="T10" i="1" s="1"/>
  <c r="W67" i="1"/>
  <c r="AU12" i="1"/>
  <c r="R67" i="1"/>
  <c r="AU11" i="1"/>
  <c r="AT11" i="1" s="1"/>
  <c r="X67" i="1"/>
  <c r="AU14" i="1"/>
  <c r="AU13" i="1"/>
  <c r="R90" i="1"/>
  <c r="BB15" i="1"/>
  <c r="BA15" i="1" s="1"/>
  <c r="AZ15" i="1" s="1"/>
  <c r="AY15" i="1" s="1"/>
  <c r="AW15" i="1" s="1"/>
  <c r="AV15" i="1" s="1"/>
  <c r="R15" i="1" s="1"/>
  <c r="T90" i="1"/>
  <c r="W90" i="1"/>
  <c r="S90" i="1"/>
  <c r="T15" i="1" l="1"/>
  <c r="X15" i="1"/>
  <c r="AT13" i="1"/>
  <c r="Q13" i="1"/>
  <c r="AT14" i="1"/>
  <c r="O14" i="1" s="1"/>
  <c r="Q14" i="1"/>
  <c r="W15" i="1"/>
  <c r="AT12" i="1"/>
  <c r="O12" i="1" s="1"/>
  <c r="O67" i="1" s="1"/>
  <c r="Q12" i="1"/>
  <c r="S15" i="1"/>
  <c r="V15" i="1"/>
  <c r="X69" i="1"/>
  <c r="BA69" i="1" s="1"/>
  <c r="BB21" i="1"/>
  <c r="W33" i="1"/>
  <c r="AZ33" i="1" s="1"/>
  <c r="W81" i="1"/>
  <c r="AZ81" i="1" s="1"/>
  <c r="BB44" i="1"/>
  <c r="BB23" i="1"/>
  <c r="V81" i="1"/>
  <c r="AY81" i="1" s="1"/>
  <c r="AY80" i="1"/>
  <c r="X93" i="1"/>
  <c r="W43" i="1"/>
  <c r="W54" i="1"/>
  <c r="Y96" i="1"/>
  <c r="BB93" i="1"/>
  <c r="BB95" i="1"/>
  <c r="V43" i="1"/>
  <c r="V54" i="1"/>
  <c r="X81" i="1"/>
  <c r="BB81" i="1"/>
  <c r="Y84" i="1"/>
  <c r="BB83" i="1"/>
  <c r="AZ92" i="1"/>
  <c r="W93" i="1"/>
  <c r="X43" i="1"/>
  <c r="X54" i="1"/>
  <c r="BA68" i="1"/>
  <c r="AZ68" i="1" s="1"/>
  <c r="AY68" i="1" s="1"/>
  <c r="Y57" i="1"/>
  <c r="BB56" i="1"/>
  <c r="BB71" i="1"/>
  <c r="X72" i="1" s="1"/>
  <c r="Y72" i="1"/>
  <c r="BB69" i="1"/>
  <c r="AZ20" i="1"/>
  <c r="AY20" i="1" s="1"/>
  <c r="V33" i="1"/>
  <c r="AY33" i="1" s="1"/>
  <c r="AY32" i="1"/>
  <c r="AZ21" i="1"/>
  <c r="Y36" i="1"/>
  <c r="BB33" i="1"/>
  <c r="BB35" i="1"/>
  <c r="Y48" i="1"/>
  <c r="BB47" i="1"/>
  <c r="BB45" i="1"/>
  <c r="X21" i="1"/>
  <c r="X33" i="1"/>
  <c r="AW10" i="1"/>
  <c r="S10" i="1" s="1"/>
  <c r="Q67" i="1"/>
  <c r="AR14" i="1"/>
  <c r="N14" i="1" s="1"/>
  <c r="O90" i="1"/>
  <c r="AR11" i="1"/>
  <c r="Q90" i="1"/>
  <c r="AU15" i="1"/>
  <c r="AR13" i="1" l="1"/>
  <c r="O13" i="1"/>
  <c r="AR12" i="1"/>
  <c r="N12" i="1" s="1"/>
  <c r="AT15" i="1"/>
  <c r="O15" i="1" s="1"/>
  <c r="Q15" i="1"/>
  <c r="X57" i="1"/>
  <c r="BA57" i="1" s="1"/>
  <c r="BA44" i="1"/>
  <c r="W45" i="1" s="1"/>
  <c r="AZ45" i="1" s="1"/>
  <c r="W69" i="1"/>
  <c r="AY21" i="1"/>
  <c r="BA71" i="1"/>
  <c r="X96" i="1"/>
  <c r="X45" i="1"/>
  <c r="BA47" i="1" s="1"/>
  <c r="AW68" i="1"/>
  <c r="T76" i="1"/>
  <c r="T69" i="1"/>
  <c r="AZ44" i="1"/>
  <c r="V45" i="1" s="1"/>
  <c r="AY45" i="1" s="1"/>
  <c r="AZ93" i="1"/>
  <c r="BA93" i="1"/>
  <c r="BA95" i="1"/>
  <c r="AZ95" i="1" s="1"/>
  <c r="AY92" i="1"/>
  <c r="V93" i="1"/>
  <c r="V69" i="1"/>
  <c r="T43" i="1"/>
  <c r="T54" i="1"/>
  <c r="BA56" i="1"/>
  <c r="W57" i="1" s="1"/>
  <c r="T88" i="1"/>
  <c r="T81" i="1"/>
  <c r="AW80" i="1"/>
  <c r="Y60" i="1"/>
  <c r="BB59" i="1"/>
  <c r="X60" i="1" s="1"/>
  <c r="BB57" i="1"/>
  <c r="BA81" i="1"/>
  <c r="X84" i="1"/>
  <c r="BA83" i="1"/>
  <c r="X36" i="1"/>
  <c r="BA35" i="1"/>
  <c r="BA33" i="1"/>
  <c r="X24" i="1"/>
  <c r="BA23" i="1"/>
  <c r="BA21" i="1"/>
  <c r="T28" i="1"/>
  <c r="T21" i="1"/>
  <c r="AW20" i="1"/>
  <c r="T33" i="1"/>
  <c r="AW32" i="1"/>
  <c r="T40" i="1"/>
  <c r="AV10" i="1"/>
  <c r="R10" i="1" s="1"/>
  <c r="AR15" i="1"/>
  <c r="N15" i="1" s="1"/>
  <c r="AQ11" i="1"/>
  <c r="N67" i="1"/>
  <c r="AQ14" i="1"/>
  <c r="M14" i="1" s="1"/>
  <c r="N90" i="1"/>
  <c r="AQ12" i="1" l="1"/>
  <c r="M12" i="1" s="1"/>
  <c r="W72" i="1"/>
  <c r="AQ13" i="1"/>
  <c r="N13" i="1"/>
  <c r="AZ71" i="1"/>
  <c r="AY71" i="1" s="1"/>
  <c r="AW71" i="1" s="1"/>
  <c r="BA45" i="1"/>
  <c r="X48" i="1"/>
  <c r="AY44" i="1"/>
  <c r="T52" i="1" s="1"/>
  <c r="AZ69" i="1"/>
  <c r="W96" i="1"/>
  <c r="AZ57" i="1"/>
  <c r="AW92" i="1"/>
  <c r="T93" i="1"/>
  <c r="T100" i="1"/>
  <c r="BA59" i="1"/>
  <c r="W60" i="1" s="1"/>
  <c r="S81" i="1"/>
  <c r="AV80" i="1"/>
  <c r="AW81" i="1"/>
  <c r="S43" i="1"/>
  <c r="S54" i="1"/>
  <c r="W84" i="1"/>
  <c r="AZ83" i="1"/>
  <c r="AW69" i="1"/>
  <c r="AZ56" i="1"/>
  <c r="AY69" i="1"/>
  <c r="V96" i="1"/>
  <c r="AY95" i="1"/>
  <c r="AY93" i="1"/>
  <c r="S69" i="1"/>
  <c r="AV68" i="1"/>
  <c r="AV20" i="1"/>
  <c r="S21" i="1"/>
  <c r="AW21" i="1"/>
  <c r="AW33" i="1"/>
  <c r="W48" i="1"/>
  <c r="AZ47" i="1"/>
  <c r="W36" i="1"/>
  <c r="AZ35" i="1"/>
  <c r="AV32" i="1"/>
  <c r="S33" i="1"/>
  <c r="AZ23" i="1"/>
  <c r="W24" i="1"/>
  <c r="AU10" i="1"/>
  <c r="Q10" i="1" s="1"/>
  <c r="AP12" i="1"/>
  <c r="L12" i="1" s="1"/>
  <c r="M67" i="1"/>
  <c r="AP11" i="1"/>
  <c r="AP14" i="1"/>
  <c r="L14" i="1" s="1"/>
  <c r="M90" i="1"/>
  <c r="AQ15" i="1"/>
  <c r="M15" i="1" s="1"/>
  <c r="V72" i="1" l="1"/>
  <c r="AW44" i="1"/>
  <c r="AV44" i="1" s="1"/>
  <c r="T45" i="1"/>
  <c r="AP13" i="1"/>
  <c r="M13" i="1"/>
  <c r="AU68" i="1"/>
  <c r="R69" i="1"/>
  <c r="AY56" i="1"/>
  <c r="V57" i="1"/>
  <c r="AV69" i="1"/>
  <c r="S72" i="1"/>
  <c r="AV71" i="1"/>
  <c r="T72" i="1"/>
  <c r="AW93" i="1"/>
  <c r="T96" i="1"/>
  <c r="AW95" i="1"/>
  <c r="AV92" i="1"/>
  <c r="S93" i="1"/>
  <c r="AU80" i="1"/>
  <c r="R81" i="1"/>
  <c r="AZ59" i="1"/>
  <c r="R43" i="1"/>
  <c r="AU44" i="1" s="1"/>
  <c r="R54" i="1"/>
  <c r="AY83" i="1"/>
  <c r="V84" i="1"/>
  <c r="AV81" i="1"/>
  <c r="AW45" i="1"/>
  <c r="V24" i="1"/>
  <c r="AY23" i="1"/>
  <c r="AV33" i="1"/>
  <c r="AV21" i="1"/>
  <c r="V48" i="1"/>
  <c r="AY47" i="1"/>
  <c r="AU32" i="1"/>
  <c r="R33" i="1"/>
  <c r="AU20" i="1"/>
  <c r="R21" i="1"/>
  <c r="R45" i="1"/>
  <c r="AY35" i="1"/>
  <c r="V36" i="1"/>
  <c r="S45" i="1"/>
  <c r="AT10" i="1"/>
  <c r="O10" i="1" s="1"/>
  <c r="AO14" i="1"/>
  <c r="J14" i="1" s="1"/>
  <c r="L90" i="1"/>
  <c r="AP15" i="1"/>
  <c r="L15" i="1" s="1"/>
  <c r="AO11" i="1"/>
  <c r="AO12" i="1"/>
  <c r="J12" i="1" s="1"/>
  <c r="L67" i="1"/>
  <c r="T48" i="1" l="1"/>
  <c r="AO13" i="1"/>
  <c r="L13" i="1"/>
  <c r="Q43" i="1"/>
  <c r="Q45" i="1" s="1"/>
  <c r="Q54" i="1"/>
  <c r="AV93" i="1"/>
  <c r="S96" i="1"/>
  <c r="AV95" i="1"/>
  <c r="R93" i="1"/>
  <c r="AU92" i="1"/>
  <c r="AY57" i="1"/>
  <c r="V60" i="1"/>
  <c r="T84" i="1"/>
  <c r="AW83" i="1"/>
  <c r="T64" i="1"/>
  <c r="T57" i="1"/>
  <c r="AW56" i="1"/>
  <c r="AU69" i="1"/>
  <c r="R72" i="1"/>
  <c r="AU71" i="1"/>
  <c r="AT80" i="1"/>
  <c r="Q81" i="1"/>
  <c r="Q69" i="1"/>
  <c r="AT68" i="1"/>
  <c r="AY59" i="1"/>
  <c r="AU81" i="1"/>
  <c r="AT20" i="1"/>
  <c r="Q21" i="1"/>
  <c r="AU33" i="1"/>
  <c r="Q33" i="1"/>
  <c r="AT32" i="1"/>
  <c r="T24" i="1"/>
  <c r="AW23" i="1"/>
  <c r="AV45" i="1"/>
  <c r="T36" i="1"/>
  <c r="AW35" i="1"/>
  <c r="AU45" i="1"/>
  <c r="AW47" i="1"/>
  <c r="S48" i="1" s="1"/>
  <c r="AU21" i="1"/>
  <c r="AR10" i="1"/>
  <c r="N10" i="1" s="1"/>
  <c r="AM12" i="1"/>
  <c r="I12" i="1" s="1"/>
  <c r="J67" i="1"/>
  <c r="AM11" i="1"/>
  <c r="AO15" i="1"/>
  <c r="J15" i="1" s="1"/>
  <c r="AM14" i="1"/>
  <c r="I14" i="1" s="1"/>
  <c r="J90" i="1"/>
  <c r="AM13" i="1" l="1"/>
  <c r="J13" i="1"/>
  <c r="AT44" i="1"/>
  <c r="AR68" i="1"/>
  <c r="O69" i="1"/>
  <c r="Q93" i="1"/>
  <c r="AT92" i="1"/>
  <c r="O76" i="1"/>
  <c r="AT69" i="1"/>
  <c r="AT71" i="1"/>
  <c r="Q72" i="1"/>
  <c r="AV56" i="1"/>
  <c r="S57" i="1"/>
  <c r="R96" i="1"/>
  <c r="AU95" i="1"/>
  <c r="AU93" i="1"/>
  <c r="AT81" i="1"/>
  <c r="O88" i="1"/>
  <c r="T60" i="1"/>
  <c r="AW57" i="1"/>
  <c r="AW59" i="1"/>
  <c r="O81" i="1"/>
  <c r="AR80" i="1"/>
  <c r="AV83" i="1"/>
  <c r="S84" i="1"/>
  <c r="O43" i="1"/>
  <c r="O54" i="1"/>
  <c r="AV47" i="1"/>
  <c r="O33" i="1"/>
  <c r="AR32" i="1"/>
  <c r="AT33" i="1"/>
  <c r="O40" i="1"/>
  <c r="S36" i="1"/>
  <c r="AV35" i="1"/>
  <c r="AT45" i="1"/>
  <c r="O52" i="1"/>
  <c r="O28" i="1"/>
  <c r="AT21" i="1"/>
  <c r="AV23" i="1"/>
  <c r="S24" i="1"/>
  <c r="AR20" i="1"/>
  <c r="O21" i="1"/>
  <c r="AQ10" i="1"/>
  <c r="M10" i="1" s="1"/>
  <c r="AL14" i="1"/>
  <c r="H14" i="1" s="1"/>
  <c r="I90" i="1"/>
  <c r="AM15" i="1"/>
  <c r="I15" i="1" s="1"/>
  <c r="AL11" i="1"/>
  <c r="AL12" i="1"/>
  <c r="H12" i="1" s="1"/>
  <c r="I67" i="1"/>
  <c r="I13" i="1" l="1"/>
  <c r="AL13" i="1"/>
  <c r="AR44" i="1"/>
  <c r="N45" i="1" s="1"/>
  <c r="O45" i="1"/>
  <c r="R84" i="1"/>
  <c r="AU83" i="1"/>
  <c r="N81" i="1"/>
  <c r="AQ80" i="1"/>
  <c r="AR81" i="1"/>
  <c r="O93" i="1"/>
  <c r="AR92" i="1"/>
  <c r="N43" i="1"/>
  <c r="N54" i="1"/>
  <c r="O100" i="1"/>
  <c r="Q96" i="1"/>
  <c r="AT93" i="1"/>
  <c r="AT95" i="1"/>
  <c r="S60" i="1"/>
  <c r="AV59" i="1"/>
  <c r="AV57" i="1"/>
  <c r="AR69" i="1"/>
  <c r="O72" i="1"/>
  <c r="AR71" i="1"/>
  <c r="AU56" i="1"/>
  <c r="R57" i="1"/>
  <c r="N69" i="1"/>
  <c r="AQ68" i="1"/>
  <c r="R48" i="1"/>
  <c r="AU47" i="1"/>
  <c r="AU35" i="1"/>
  <c r="R36" i="1"/>
  <c r="AR21" i="1"/>
  <c r="AR45" i="1"/>
  <c r="AQ32" i="1"/>
  <c r="N33" i="1"/>
  <c r="AQ20" i="1"/>
  <c r="N21" i="1"/>
  <c r="R24" i="1"/>
  <c r="AU23" i="1"/>
  <c r="AR33" i="1"/>
  <c r="AP10" i="1"/>
  <c r="L10" i="1" s="1"/>
  <c r="H67" i="1"/>
  <c r="AK12" i="1"/>
  <c r="G12" i="1" s="1"/>
  <c r="AL15" i="1"/>
  <c r="H15" i="1" s="1"/>
  <c r="AK11" i="1"/>
  <c r="AK14" i="1"/>
  <c r="G14" i="1" s="1"/>
  <c r="H90" i="1"/>
  <c r="AQ44" i="1" l="1"/>
  <c r="AK13" i="1"/>
  <c r="H13" i="1"/>
  <c r="M43" i="1"/>
  <c r="AP44" i="1" s="1"/>
  <c r="M54" i="1"/>
  <c r="M81" i="1"/>
  <c r="AP80" i="1"/>
  <c r="AP68" i="1"/>
  <c r="M69" i="1"/>
  <c r="AQ92" i="1"/>
  <c r="N93" i="1"/>
  <c r="AQ81" i="1"/>
  <c r="AT56" i="1"/>
  <c r="Q57" i="1"/>
  <c r="AQ69" i="1"/>
  <c r="AQ71" i="1"/>
  <c r="N72" i="1"/>
  <c r="AR93" i="1"/>
  <c r="AR95" i="1"/>
  <c r="O96" i="1"/>
  <c r="Q84" i="1"/>
  <c r="AT83" i="1"/>
  <c r="AU57" i="1"/>
  <c r="AU59" i="1"/>
  <c r="R60" i="1"/>
  <c r="AT47" i="1"/>
  <c r="Q48" i="1"/>
  <c r="AQ21" i="1"/>
  <c r="AQ45" i="1"/>
  <c r="AQ33" i="1"/>
  <c r="AP20" i="1"/>
  <c r="M21" i="1"/>
  <c r="AP32" i="1"/>
  <c r="M33" i="1"/>
  <c r="Q24" i="1"/>
  <c r="AT23" i="1"/>
  <c r="Q36" i="1"/>
  <c r="AT35" i="1"/>
  <c r="AO10" i="1"/>
  <c r="J10" i="1" s="1"/>
  <c r="AJ11" i="1"/>
  <c r="AK15" i="1"/>
  <c r="G15" i="1" s="1"/>
  <c r="G67" i="1"/>
  <c r="AI66" i="1" s="1"/>
  <c r="AJ12" i="1"/>
  <c r="AJ14" i="1"/>
  <c r="G90" i="1"/>
  <c r="AI90" i="1" s="1"/>
  <c r="G13" i="1" l="1"/>
  <c r="AJ13" i="1"/>
  <c r="M45" i="1"/>
  <c r="O84" i="1"/>
  <c r="AR83" i="1"/>
  <c r="O64" i="1"/>
  <c r="Q60" i="1"/>
  <c r="AT59" i="1"/>
  <c r="AT57" i="1"/>
  <c r="L69" i="1"/>
  <c r="AO68" i="1"/>
  <c r="O57" i="1"/>
  <c r="AR56" i="1"/>
  <c r="L81" i="1"/>
  <c r="AO80" i="1"/>
  <c r="AP81" i="1"/>
  <c r="AP71" i="1"/>
  <c r="AP69" i="1"/>
  <c r="M72" i="1"/>
  <c r="L43" i="1"/>
  <c r="L45" i="1" s="1"/>
  <c r="L54" i="1"/>
  <c r="AQ95" i="1"/>
  <c r="AQ93" i="1"/>
  <c r="N96" i="1"/>
  <c r="AP92" i="1"/>
  <c r="M93" i="1"/>
  <c r="O48" i="1"/>
  <c r="AR47" i="1"/>
  <c r="L33" i="1"/>
  <c r="AO32" i="1"/>
  <c r="AR35" i="1"/>
  <c r="O36" i="1"/>
  <c r="AP21" i="1"/>
  <c r="AP33" i="1"/>
  <c r="AO20" i="1"/>
  <c r="L21" i="1"/>
  <c r="AP45" i="1"/>
  <c r="O24" i="1"/>
  <c r="AR23" i="1"/>
  <c r="AM10" i="1"/>
  <c r="I10" i="1" s="1"/>
  <c r="AJ15" i="1"/>
  <c r="AO44" i="1" l="1"/>
  <c r="AO69" i="1"/>
  <c r="AO71" i="1"/>
  <c r="L72" i="1"/>
  <c r="J43" i="1"/>
  <c r="J54" i="1"/>
  <c r="AM80" i="1"/>
  <c r="J81" i="1"/>
  <c r="M96" i="1"/>
  <c r="AP95" i="1"/>
  <c r="AP93" i="1"/>
  <c r="AO81" i="1"/>
  <c r="AQ56" i="1"/>
  <c r="N57" i="1"/>
  <c r="N84" i="1"/>
  <c r="AQ83" i="1"/>
  <c r="J69" i="1"/>
  <c r="AM68" i="1"/>
  <c r="L93" i="1"/>
  <c r="AO92" i="1"/>
  <c r="AR57" i="1"/>
  <c r="O60" i="1"/>
  <c r="AR59" i="1"/>
  <c r="N48" i="1"/>
  <c r="AQ47" i="1"/>
  <c r="AO45" i="1"/>
  <c r="N24" i="1"/>
  <c r="AQ23" i="1"/>
  <c r="N36" i="1"/>
  <c r="AQ35" i="1"/>
  <c r="AO21" i="1"/>
  <c r="AM32" i="1"/>
  <c r="J33" i="1"/>
  <c r="AM20" i="1"/>
  <c r="J21" i="1"/>
  <c r="AO33" i="1"/>
  <c r="AL10" i="1"/>
  <c r="H10" i="1" s="1"/>
  <c r="J45" i="1" l="1"/>
  <c r="AM45" i="1" s="1"/>
  <c r="J93" i="1"/>
  <c r="AM92" i="1"/>
  <c r="AP56" i="1"/>
  <c r="M57" i="1"/>
  <c r="AO93" i="1"/>
  <c r="L96" i="1"/>
  <c r="AO95" i="1"/>
  <c r="AL80" i="1"/>
  <c r="I81" i="1"/>
  <c r="AM69" i="1"/>
  <c r="J72" i="1"/>
  <c r="AM71" i="1"/>
  <c r="AM44" i="1"/>
  <c r="M84" i="1"/>
  <c r="AP83" i="1"/>
  <c r="I43" i="1"/>
  <c r="I54" i="1"/>
  <c r="AL68" i="1"/>
  <c r="I69" i="1"/>
  <c r="N60" i="1"/>
  <c r="AQ59" i="1"/>
  <c r="AQ57" i="1"/>
  <c r="AM81" i="1"/>
  <c r="AP47" i="1"/>
  <c r="M48" i="1"/>
  <c r="AM21" i="1"/>
  <c r="AM33" i="1"/>
  <c r="I21" i="1"/>
  <c r="AL20" i="1"/>
  <c r="M24" i="1"/>
  <c r="AP23" i="1"/>
  <c r="I33" i="1"/>
  <c r="AL32" i="1"/>
  <c r="AP35" i="1"/>
  <c r="M36" i="1"/>
  <c r="AK10" i="1"/>
  <c r="G10" i="1" s="1"/>
  <c r="AL44" i="1" l="1"/>
  <c r="I45" i="1"/>
  <c r="AL45" i="1" s="1"/>
  <c r="M60" i="1"/>
  <c r="AP59" i="1"/>
  <c r="AP57" i="1"/>
  <c r="AO56" i="1"/>
  <c r="L57" i="1"/>
  <c r="H69" i="1"/>
  <c r="AK68" i="1"/>
  <c r="H43" i="1"/>
  <c r="H54" i="1"/>
  <c r="AL69" i="1"/>
  <c r="I72" i="1"/>
  <c r="AL71" i="1"/>
  <c r="AL81" i="1"/>
  <c r="H81" i="1"/>
  <c r="AK80" i="1"/>
  <c r="I93" i="1"/>
  <c r="AL92" i="1"/>
  <c r="L84" i="1"/>
  <c r="AO83" i="1"/>
  <c r="AM95" i="1"/>
  <c r="J96" i="1"/>
  <c r="AM93" i="1"/>
  <c r="AO47" i="1"/>
  <c r="L48" i="1"/>
  <c r="AK20" i="1"/>
  <c r="H21" i="1"/>
  <c r="AL33" i="1"/>
  <c r="L36" i="1"/>
  <c r="AO35" i="1"/>
  <c r="AL21" i="1"/>
  <c r="AO23" i="1"/>
  <c r="L24" i="1"/>
  <c r="AK32" i="1"/>
  <c r="H33" i="1"/>
  <c r="AJ10" i="1"/>
  <c r="H45" i="1" l="1"/>
  <c r="AK45" i="1" s="1"/>
  <c r="J84" i="1"/>
  <c r="AM83" i="1"/>
  <c r="G69" i="1"/>
  <c r="AJ68" i="1"/>
  <c r="AK69" i="1"/>
  <c r="AK71" i="1"/>
  <c r="H72" i="1"/>
  <c r="AK92" i="1"/>
  <c r="H93" i="1"/>
  <c r="L60" i="1"/>
  <c r="AO59" i="1"/>
  <c r="AO57" i="1"/>
  <c r="AK44" i="1"/>
  <c r="AL95" i="1"/>
  <c r="AL93" i="1"/>
  <c r="I96" i="1"/>
  <c r="AM56" i="1"/>
  <c r="J57" i="1"/>
  <c r="G43" i="1"/>
  <c r="AI42" i="1" s="1"/>
  <c r="G54" i="1"/>
  <c r="G81" i="1"/>
  <c r="AJ80" i="1"/>
  <c r="AK81" i="1"/>
  <c r="AM47" i="1"/>
  <c r="J48" i="1"/>
  <c r="AM23" i="1"/>
  <c r="J24" i="1"/>
  <c r="AK21" i="1"/>
  <c r="G21" i="1"/>
  <c r="AJ20" i="1"/>
  <c r="AK33" i="1"/>
  <c r="AJ32" i="1"/>
  <c r="G33" i="1"/>
  <c r="AM35" i="1"/>
  <c r="J36" i="1"/>
  <c r="AJ44" i="1" l="1"/>
  <c r="G45" i="1"/>
  <c r="W49" i="1" s="1"/>
  <c r="AZ49" i="1" s="1"/>
  <c r="AF88" i="1"/>
  <c r="AI86" i="1" s="1"/>
  <c r="J88" i="1"/>
  <c r="AJ92" i="1"/>
  <c r="G93" i="1"/>
  <c r="T85" i="1"/>
  <c r="AW85" i="1" s="1"/>
  <c r="J85" i="1"/>
  <c r="AM85" i="1" s="1"/>
  <c r="P85" i="1"/>
  <c r="L85" i="1"/>
  <c r="AO85" i="1" s="1"/>
  <c r="E81" i="1"/>
  <c r="AA85" i="1"/>
  <c r="AA87" i="1"/>
  <c r="AI79" i="1"/>
  <c r="AJ81" i="1"/>
  <c r="AB81" i="1" s="1"/>
  <c r="X85" i="1"/>
  <c r="BA85" i="1" s="1"/>
  <c r="S85" i="1"/>
  <c r="AV85" i="1" s="1"/>
  <c r="Y85" i="1"/>
  <c r="BB85" i="1" s="1"/>
  <c r="W85" i="1"/>
  <c r="AZ85" i="1" s="1"/>
  <c r="AC85" i="1"/>
  <c r="E85" i="1"/>
  <c r="K85" i="1"/>
  <c r="Q85" i="1"/>
  <c r="AT85" i="1" s="1"/>
  <c r="O85" i="1"/>
  <c r="AR85" i="1" s="1"/>
  <c r="U85" i="1"/>
  <c r="N85" i="1"/>
  <c r="AQ85" i="1" s="1"/>
  <c r="R85" i="1"/>
  <c r="AU85" i="1" s="1"/>
  <c r="AC88" i="1"/>
  <c r="V85" i="1"/>
  <c r="AY85" i="1" s="1"/>
  <c r="M85" i="1"/>
  <c r="AP85" i="1" s="1"/>
  <c r="Z85" i="1"/>
  <c r="AI54" i="1"/>
  <c r="J60" i="1"/>
  <c r="AM57" i="1"/>
  <c r="AM59" i="1"/>
  <c r="AF76" i="1"/>
  <c r="J76" i="1"/>
  <c r="AL56" i="1"/>
  <c r="I57" i="1"/>
  <c r="G72" i="1"/>
  <c r="Z73" i="1"/>
  <c r="Y73" i="1"/>
  <c r="BB73" i="1" s="1"/>
  <c r="AI67" i="1"/>
  <c r="P73" i="1"/>
  <c r="AA73" i="1"/>
  <c r="R73" i="1"/>
  <c r="AU73" i="1" s="1"/>
  <c r="Q73" i="1"/>
  <c r="AT73" i="1" s="1"/>
  <c r="AC73" i="1"/>
  <c r="AC76" i="1"/>
  <c r="S73" i="1"/>
  <c r="AV73" i="1" s="1"/>
  <c r="J73" i="1"/>
  <c r="AM73" i="1" s="1"/>
  <c r="I73" i="1"/>
  <c r="AL73" i="1" s="1"/>
  <c r="U73" i="1"/>
  <c r="AJ71" i="1"/>
  <c r="AA75" i="1"/>
  <c r="K73" i="1"/>
  <c r="E69" i="1"/>
  <c r="W73" i="1"/>
  <c r="AZ73" i="1" s="1"/>
  <c r="M73" i="1"/>
  <c r="AP73" i="1" s="1"/>
  <c r="AJ69" i="1"/>
  <c r="AB69" i="1" s="1"/>
  <c r="O73" i="1"/>
  <c r="AR73" i="1" s="1"/>
  <c r="G73" i="1"/>
  <c r="AJ73" i="1" s="1"/>
  <c r="V73" i="1"/>
  <c r="AY73" i="1" s="1"/>
  <c r="H73" i="1"/>
  <c r="AK73" i="1" s="1"/>
  <c r="E73" i="1"/>
  <c r="N73" i="1"/>
  <c r="AQ73" i="1" s="1"/>
  <c r="X73" i="1"/>
  <c r="BA73" i="1" s="1"/>
  <c r="T73" i="1"/>
  <c r="AW73" i="1" s="1"/>
  <c r="L73" i="1"/>
  <c r="AO73" i="1" s="1"/>
  <c r="AL83" i="1"/>
  <c r="I84" i="1"/>
  <c r="I85" i="1" s="1"/>
  <c r="AL85" i="1" s="1"/>
  <c r="H96" i="1"/>
  <c r="AK95" i="1"/>
  <c r="AK93" i="1"/>
  <c r="AB87" i="1"/>
  <c r="I48" i="1"/>
  <c r="AL47" i="1"/>
  <c r="S49" i="1"/>
  <c r="AV49" i="1" s="1"/>
  <c r="U49" i="1"/>
  <c r="Z49" i="1"/>
  <c r="AI50" i="1"/>
  <c r="L49" i="1"/>
  <c r="AO49" i="1" s="1"/>
  <c r="AI43" i="1"/>
  <c r="I24" i="1"/>
  <c r="AL23" i="1"/>
  <c r="S37" i="1"/>
  <c r="AV37" i="1" s="1"/>
  <c r="Y37" i="1"/>
  <c r="BB37" i="1" s="1"/>
  <c r="O37" i="1"/>
  <c r="AR37" i="1" s="1"/>
  <c r="AC37" i="1"/>
  <c r="K37" i="1"/>
  <c r="Q37" i="1"/>
  <c r="AT37" i="1" s="1"/>
  <c r="U37" i="1"/>
  <c r="E37" i="1"/>
  <c r="J37" i="1"/>
  <c r="AM37" i="1" s="1"/>
  <c r="AC40" i="1"/>
  <c r="V37" i="1"/>
  <c r="AY37" i="1" s="1"/>
  <c r="M37" i="1"/>
  <c r="AP37" i="1" s="1"/>
  <c r="Z37" i="1"/>
  <c r="AI31" i="1"/>
  <c r="N37" i="1"/>
  <c r="AQ37" i="1" s="1"/>
  <c r="X37" i="1"/>
  <c r="BA37" i="1" s="1"/>
  <c r="T37" i="1"/>
  <c r="AW37" i="1" s="1"/>
  <c r="R37" i="1"/>
  <c r="AU37" i="1" s="1"/>
  <c r="P37" i="1"/>
  <c r="E33" i="1"/>
  <c r="L37" i="1"/>
  <c r="AO37" i="1" s="1"/>
  <c r="AA37" i="1"/>
  <c r="AA39" i="1"/>
  <c r="W37" i="1"/>
  <c r="AZ37" i="1" s="1"/>
  <c r="AJ33" i="1"/>
  <c r="AB33" i="1" s="1"/>
  <c r="AF28" i="1"/>
  <c r="AF52" i="1"/>
  <c r="J52" i="1"/>
  <c r="I36" i="1"/>
  <c r="I37" i="1" s="1"/>
  <c r="AL37" i="1" s="1"/>
  <c r="AL35" i="1"/>
  <c r="J40" i="1"/>
  <c r="AF40" i="1"/>
  <c r="V25" i="1"/>
  <c r="AY25" i="1" s="1"/>
  <c r="N25" i="1"/>
  <c r="AQ25" i="1" s="1"/>
  <c r="E25" i="1"/>
  <c r="AC25" i="1"/>
  <c r="T25" i="1"/>
  <c r="AW25" i="1" s="1"/>
  <c r="M25" i="1"/>
  <c r="AP25" i="1" s="1"/>
  <c r="E21" i="1"/>
  <c r="S25" i="1"/>
  <c r="AV25" i="1" s="1"/>
  <c r="L25" i="1"/>
  <c r="AO25" i="1" s="1"/>
  <c r="U25" i="1"/>
  <c r="AI26" i="1"/>
  <c r="AA25" i="1"/>
  <c r="R25" i="1"/>
  <c r="AU25" i="1" s="1"/>
  <c r="K25" i="1"/>
  <c r="Y25" i="1"/>
  <c r="BB25" i="1" s="1"/>
  <c r="Z25" i="1"/>
  <c r="Q25" i="1"/>
  <c r="AT25" i="1" s="1"/>
  <c r="J25" i="1"/>
  <c r="AM25" i="1" s="1"/>
  <c r="AA27" i="1"/>
  <c r="X25" i="1"/>
  <c r="BA25" i="1" s="1"/>
  <c r="P25" i="1"/>
  <c r="I25" i="1"/>
  <c r="AL25" i="1" s="1"/>
  <c r="W25" i="1"/>
  <c r="AZ25" i="1" s="1"/>
  <c r="O25" i="1"/>
  <c r="AR25" i="1" s="1"/>
  <c r="AI19" i="1"/>
  <c r="AJ21" i="1"/>
  <c r="AB21" i="1" s="1"/>
  <c r="AC28" i="1"/>
  <c r="P49" i="1" l="1"/>
  <c r="N49" i="1"/>
  <c r="AQ49" i="1" s="1"/>
  <c r="AC49" i="1"/>
  <c r="E45" i="1"/>
  <c r="I49" i="1"/>
  <c r="AL49" i="1" s="1"/>
  <c r="AA51" i="1"/>
  <c r="J49" i="1"/>
  <c r="AM49" i="1" s="1"/>
  <c r="V49" i="1"/>
  <c r="AY49" i="1" s="1"/>
  <c r="AJ45" i="1"/>
  <c r="AB45" i="1" s="1"/>
  <c r="T49" i="1"/>
  <c r="AW49" i="1" s="1"/>
  <c r="Q49" i="1"/>
  <c r="AT49" i="1" s="1"/>
  <c r="H49" i="1"/>
  <c r="AK49" i="1" s="1"/>
  <c r="AB49" i="1" s="1"/>
  <c r="AJ51" i="1" s="1"/>
  <c r="E49" i="1"/>
  <c r="AC52" i="1"/>
  <c r="AA49" i="1"/>
  <c r="R49" i="1"/>
  <c r="AU49" i="1" s="1"/>
  <c r="K49" i="1"/>
  <c r="O49" i="1"/>
  <c r="AR49" i="1" s="1"/>
  <c r="Y49" i="1"/>
  <c r="BB49" i="1" s="1"/>
  <c r="M49" i="1"/>
  <c r="AP49" i="1" s="1"/>
  <c r="X49" i="1"/>
  <c r="BA49" i="1" s="1"/>
  <c r="AB73" i="1"/>
  <c r="AJ75" i="1" s="1"/>
  <c r="AD81" i="1"/>
  <c r="AI85" i="1" s="1"/>
  <c r="Y88" i="1"/>
  <c r="AI80" i="1"/>
  <c r="AL59" i="1"/>
  <c r="I60" i="1"/>
  <c r="AL57" i="1"/>
  <c r="H84" i="1"/>
  <c r="H85" i="1" s="1"/>
  <c r="AK85" i="1" s="1"/>
  <c r="AK83" i="1"/>
  <c r="H57" i="1"/>
  <c r="AK56" i="1"/>
  <c r="AC100" i="1"/>
  <c r="I97" i="1"/>
  <c r="AL97" i="1" s="1"/>
  <c r="V97" i="1"/>
  <c r="AY97" i="1" s="1"/>
  <c r="M97" i="1"/>
  <c r="AP97" i="1" s="1"/>
  <c r="Z97" i="1"/>
  <c r="N97" i="1"/>
  <c r="AQ97" i="1" s="1"/>
  <c r="R97" i="1"/>
  <c r="AU97" i="1" s="1"/>
  <c r="X97" i="1"/>
  <c r="BA97" i="1" s="1"/>
  <c r="E97" i="1"/>
  <c r="T97" i="1"/>
  <c r="AW97" i="1" s="1"/>
  <c r="J97" i="1"/>
  <c r="AM97" i="1" s="1"/>
  <c r="P97" i="1"/>
  <c r="G96" i="1"/>
  <c r="G97" i="1" s="1"/>
  <c r="AJ97" i="1" s="1"/>
  <c r="L97" i="1"/>
  <c r="AO97" i="1" s="1"/>
  <c r="E93" i="1"/>
  <c r="H97" i="1"/>
  <c r="AK97" i="1" s="1"/>
  <c r="AJ95" i="1"/>
  <c r="AA97" i="1"/>
  <c r="AA99" i="1"/>
  <c r="AI91" i="1"/>
  <c r="AJ93" i="1"/>
  <c r="AB93" i="1" s="1"/>
  <c r="S97" i="1"/>
  <c r="AV97" i="1" s="1"/>
  <c r="Y97" i="1"/>
  <c r="BB97" i="1" s="1"/>
  <c r="W97" i="1"/>
  <c r="AZ97" i="1" s="1"/>
  <c r="AC97" i="1"/>
  <c r="K97" i="1"/>
  <c r="Q97" i="1"/>
  <c r="AT97" i="1" s="1"/>
  <c r="O97" i="1"/>
  <c r="AR97" i="1" s="1"/>
  <c r="U97" i="1"/>
  <c r="AF100" i="1"/>
  <c r="AI98" i="1" s="1"/>
  <c r="J100" i="1"/>
  <c r="AD69" i="1"/>
  <c r="AI73" i="1" s="1"/>
  <c r="Y76" i="1"/>
  <c r="AI68" i="1"/>
  <c r="AI74" i="1"/>
  <c r="AC75" i="1"/>
  <c r="AB75" i="1"/>
  <c r="AB74" i="1"/>
  <c r="AI76" i="1"/>
  <c r="AI75" i="1"/>
  <c r="AI87" i="1"/>
  <c r="AC87" i="1"/>
  <c r="AB86" i="1"/>
  <c r="AI88" i="1"/>
  <c r="H48" i="1"/>
  <c r="AK47" i="1"/>
  <c r="AK23" i="1"/>
  <c r="H24" i="1"/>
  <c r="H25" i="1" s="1"/>
  <c r="AK25" i="1" s="1"/>
  <c r="AB26" i="1"/>
  <c r="AI28" i="1"/>
  <c r="AI27" i="1"/>
  <c r="AC27" i="1"/>
  <c r="AI38" i="1"/>
  <c r="AI40" i="1"/>
  <c r="AI39" i="1"/>
  <c r="AB38" i="1"/>
  <c r="AC39" i="1"/>
  <c r="AI32" i="1"/>
  <c r="AD33" i="1"/>
  <c r="AI37" i="1" s="1"/>
  <c r="Y40" i="1"/>
  <c r="AD45" i="1"/>
  <c r="AI49" i="1" s="1"/>
  <c r="AI44" i="1"/>
  <c r="Y52" i="1"/>
  <c r="AD21" i="1"/>
  <c r="AI25" i="1" s="1"/>
  <c r="Y28" i="1"/>
  <c r="AI20" i="1"/>
  <c r="AK35" i="1"/>
  <c r="H36" i="1"/>
  <c r="H37" i="1" s="1"/>
  <c r="AK37" i="1" s="1"/>
  <c r="AI51" i="1"/>
  <c r="AC51" i="1"/>
  <c r="AB51" i="1"/>
  <c r="AB50" i="1"/>
  <c r="AI52" i="1"/>
  <c r="AB97" i="1" l="1"/>
  <c r="AJ99" i="1" s="1"/>
  <c r="AD93" i="1"/>
  <c r="AI97" i="1" s="1"/>
  <c r="Y100" i="1"/>
  <c r="AI92" i="1"/>
  <c r="AJ83" i="1"/>
  <c r="G84" i="1"/>
  <c r="G85" i="1" s="1"/>
  <c r="AJ85" i="1" s="1"/>
  <c r="AB85" i="1" s="1"/>
  <c r="AJ87" i="1" s="1"/>
  <c r="G57" i="1"/>
  <c r="AJ56" i="1"/>
  <c r="AB98" i="1"/>
  <c r="AI100" i="1"/>
  <c r="AI99" i="1"/>
  <c r="AC99" i="1"/>
  <c r="AB99" i="1"/>
  <c r="AK59" i="1"/>
  <c r="AK57" i="1"/>
  <c r="H60" i="1"/>
  <c r="AJ47" i="1"/>
  <c r="G48" i="1"/>
  <c r="G49" i="1" s="1"/>
  <c r="AJ49" i="1" s="1"/>
  <c r="AJ35" i="1"/>
  <c r="G36" i="1"/>
  <c r="G37" i="1" s="1"/>
  <c r="AJ37" i="1" s="1"/>
  <c r="AB37" i="1" s="1"/>
  <c r="G24" i="1"/>
  <c r="G25" i="1" s="1"/>
  <c r="AJ25" i="1" s="1"/>
  <c r="AB25" i="1" s="1"/>
  <c r="AJ23" i="1"/>
  <c r="AJ27" i="1" l="1"/>
  <c r="AB27" i="1"/>
  <c r="AF64" i="1"/>
  <c r="AI62" i="1" s="1"/>
  <c r="J64" i="1"/>
  <c r="T61" i="1"/>
  <c r="AW61" i="1" s="1"/>
  <c r="J61" i="1"/>
  <c r="AM61" i="1" s="1"/>
  <c r="X61" i="1"/>
  <c r="BA61" i="1" s="1"/>
  <c r="G60" i="1"/>
  <c r="G61" i="1" s="1"/>
  <c r="AJ61" i="1" s="1"/>
  <c r="R61" i="1"/>
  <c r="AU61" i="1" s="1"/>
  <c r="L61" i="1"/>
  <c r="AO61" i="1" s="1"/>
  <c r="E57" i="1"/>
  <c r="P61" i="1"/>
  <c r="AJ59" i="1"/>
  <c r="AA61" i="1"/>
  <c r="AA63" i="1"/>
  <c r="H61" i="1"/>
  <c r="AK61" i="1" s="1"/>
  <c r="AJ57" i="1"/>
  <c r="AB57" i="1" s="1"/>
  <c r="W61" i="1"/>
  <c r="AZ61" i="1" s="1"/>
  <c r="N61" i="1"/>
  <c r="AQ61" i="1" s="1"/>
  <c r="E61" i="1"/>
  <c r="S61" i="1"/>
  <c r="AV61" i="1" s="1"/>
  <c r="Y61" i="1"/>
  <c r="BB61" i="1" s="1"/>
  <c r="AC61" i="1"/>
  <c r="K61" i="1"/>
  <c r="Q61" i="1"/>
  <c r="AT61" i="1" s="1"/>
  <c r="O61" i="1"/>
  <c r="AR61" i="1" s="1"/>
  <c r="U61" i="1"/>
  <c r="Z61" i="1"/>
  <c r="AC64" i="1"/>
  <c r="I61" i="1"/>
  <c r="AL61" i="1" s="1"/>
  <c r="V61" i="1"/>
  <c r="AY61" i="1" s="1"/>
  <c r="M61" i="1"/>
  <c r="AP61" i="1" s="1"/>
  <c r="AI55" i="1"/>
  <c r="AJ39" i="1"/>
  <c r="AB39" i="1" s="1"/>
  <c r="AB61" i="1" l="1"/>
  <c r="AJ63" i="1" s="1"/>
  <c r="AD57" i="1"/>
  <c r="AI61" i="1" s="1"/>
  <c r="Y64" i="1"/>
  <c r="AI56" i="1"/>
  <c r="AI63" i="1"/>
  <c r="AC63" i="1"/>
  <c r="AB63" i="1"/>
  <c r="AB62" i="1"/>
  <c r="AI64" i="1"/>
</calcChain>
</file>

<file path=xl/sharedStrings.xml><?xml version="1.0" encoding="utf-8"?>
<sst xmlns="http://schemas.openxmlformats.org/spreadsheetml/2006/main" count="497" uniqueCount="74">
  <si>
    <t>A=</t>
  </si>
  <si>
    <t>C=</t>
  </si>
  <si>
    <t>X1=</t>
  </si>
  <si>
    <t>X2=</t>
  </si>
  <si>
    <t>X3=</t>
  </si>
  <si>
    <t>A+C=</t>
  </si>
  <si>
    <t>X4=</t>
  </si>
  <si>
    <t>A+C+C=</t>
  </si>
  <si>
    <t>X5=</t>
  </si>
  <si>
    <t>C-A=</t>
  </si>
  <si>
    <t>X6=</t>
  </si>
  <si>
    <t>65536-X4=</t>
  </si>
  <si>
    <t>X7=</t>
  </si>
  <si>
    <t>-X1=</t>
  </si>
  <si>
    <t>X8=</t>
  </si>
  <si>
    <t>-X2=</t>
  </si>
  <si>
    <t>X9=</t>
  </si>
  <si>
    <t>-X3=</t>
  </si>
  <si>
    <t>X10=</t>
  </si>
  <si>
    <t>X11=</t>
  </si>
  <si>
    <t>X12=</t>
  </si>
  <si>
    <t>-X4=</t>
  </si>
  <si>
    <t>-X5=</t>
  </si>
  <si>
    <t>-X6=</t>
  </si>
  <si>
    <t>B1=</t>
  </si>
  <si>
    <t>B2=</t>
  </si>
  <si>
    <t>B3=</t>
  </si>
  <si>
    <t>B4=</t>
  </si>
  <si>
    <t>B5=</t>
  </si>
  <si>
    <t>B6=</t>
  </si>
  <si>
    <t>B7=</t>
  </si>
  <si>
    <t>B8=</t>
  </si>
  <si>
    <t>B9=</t>
  </si>
  <si>
    <t>B10=</t>
  </si>
  <si>
    <t>B11=</t>
  </si>
  <si>
    <t>B12=</t>
  </si>
  <si>
    <t>.</t>
  </si>
  <si>
    <t>-B1=</t>
  </si>
  <si>
    <t>-B2=</t>
  </si>
  <si>
    <t>-B3=</t>
  </si>
  <si>
    <t>-B4=</t>
  </si>
  <si>
    <t>-B5=</t>
  </si>
  <si>
    <t>-B6=</t>
  </si>
  <si>
    <t>B1</t>
  </si>
  <si>
    <t>+</t>
  </si>
  <si>
    <t>B2</t>
  </si>
  <si>
    <t>-</t>
  </si>
  <si>
    <t>----</t>
  </si>
  <si>
    <t>---------</t>
  </si>
  <si>
    <t>(2)</t>
  </si>
  <si>
    <t>=</t>
  </si>
  <si>
    <t>(10)</t>
  </si>
  <si>
    <t>CF=</t>
  </si>
  <si>
    <t>PF=</t>
  </si>
  <si>
    <t>X1</t>
  </si>
  <si>
    <t>X2</t>
  </si>
  <si>
    <t>--------</t>
  </si>
  <si>
    <t>---</t>
  </si>
  <si>
    <t>AF=</t>
  </si>
  <si>
    <t>ZF=</t>
  </si>
  <si>
    <t>SF=</t>
  </si>
  <si>
    <t>OF=</t>
  </si>
  <si>
    <t>результатом в десятичной системе</t>
  </si>
  <si>
    <t>счисления.</t>
  </si>
  <si>
    <t>B3</t>
  </si>
  <si>
    <t>X3</t>
  </si>
  <si>
    <t>B7</t>
  </si>
  <si>
    <t>X7</t>
  </si>
  <si>
    <t>B8</t>
  </si>
  <si>
    <t>X8</t>
  </si>
  <si>
    <t>B9</t>
  </si>
  <si>
    <t>X9</t>
  </si>
  <si>
    <t>B11</t>
  </si>
  <si>
    <t>X11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</si>
</sst>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quotePrefix="1"/>
    <xf numFmtId="0" fontId="1" fillId="0" borderId="0" xfId="0" quotePrefix="1" applyFont="1"/>
    <xf numFmtId="0" fontId="0" fillId="0" borderId="0" xfId="0" quotePrefix="1" applyFont="1"/>
    <xf numFmtId="0" fontId="0" fillId="0" borderId="0" xfId="0" applyBorder="1"/>
    <xf numFmtId="0" fontId="0" fillId="0" borderId="0" xfId="0" quotePrefix="1" applyBorder="1"/>
    <xf numFmtId="0" fontId="0" fillId="0" borderId="0" xfId="0" quotePrefix="1" applyFont="1" applyBorder="1"/>
    <xf numFmtId="0" fontId="0" fillId="0" borderId="0" xfId="0" applyFill="1" applyBorder="1"/>
    <xf numFmtId="0" fontId="0" fillId="0" borderId="1" xfId="0" applyBorder="1"/>
    <xf numFmtId="0" fontId="0" fillId="0" borderId="1" xfId="0" quotePrefix="1" applyBorder="1"/>
    <xf numFmtId="0" fontId="0" fillId="0" borderId="1" xfId="0" quotePrefix="1" applyFont="1" applyBorder="1"/>
    <xf numFmtId="0" fontId="0" fillId="0" borderId="2" xfId="0" applyBorder="1"/>
    <xf numFmtId="0" fontId="0" fillId="0" borderId="2" xfId="0" quotePrefix="1" applyBorder="1"/>
    <xf numFmtId="0" fontId="1" fillId="0" borderId="2" xfId="0" quotePrefix="1" applyFont="1" applyBorder="1"/>
    <xf numFmtId="0" fontId="1" fillId="0" borderId="0" xfId="0" quotePrefix="1" applyFont="1" applyBorder="1"/>
    <xf numFmtId="0" fontId="0" fillId="0" borderId="3" xfId="0" applyBorder="1"/>
    <xf numFmtId="0" fontId="2" fillId="2" borderId="0" xfId="0" applyFont="1" applyFill="1"/>
    <xf numFmtId="0" fontId="0" fillId="0" borderId="0" xfId="0" applyFill="1"/>
  </cellXfs>
  <cellStyles count="1">
    <cellStyle name="Обычный" xfId="0" builtinId="0"/>
  </cellStyles>
  <dxfs count="24">
    <dxf>
      <font>
        <b/>
        <i/>
      </font>
      <fill>
        <patternFill>
          <bgColor rgb="FFFF0000"/>
        </patternFill>
      </fill>
    </dxf>
    <dxf>
      <font>
        <b val="0"/>
        <i val="0"/>
      </font>
      <fill>
        <patternFill patternType="none">
          <bgColor auto="1"/>
        </patternFill>
      </fill>
    </dxf>
    <dxf>
      <font>
        <b/>
        <i/>
      </font>
      <fill>
        <patternFill>
          <bgColor rgb="FF00B050"/>
        </patternFill>
      </fill>
    </dxf>
    <dxf>
      <font>
        <b val="0"/>
        <i val="0"/>
      </font>
      <fill>
        <patternFill patternType="none">
          <bgColor auto="1"/>
        </patternFill>
      </fill>
    </dxf>
    <dxf>
      <font>
        <b/>
        <i/>
      </font>
      <fill>
        <patternFill>
          <bgColor rgb="FF00B050"/>
        </patternFill>
      </fill>
    </dxf>
    <dxf>
      <font>
        <b/>
        <i/>
      </font>
      <fill>
        <patternFill patternType="solid">
          <bgColor rgb="FF00B050"/>
        </patternFill>
      </fill>
    </dxf>
    <dxf>
      <font>
        <b/>
        <i/>
      </font>
      <fill>
        <patternFill patternType="solid">
          <bgColor rgb="FF00B050"/>
        </patternFill>
      </fill>
    </dxf>
    <dxf>
      <font>
        <b val="0"/>
        <i val="0"/>
      </font>
      <fill>
        <patternFill patternType="none">
          <bgColor auto="1"/>
        </patternFill>
      </fill>
    </dxf>
    <dxf>
      <font>
        <b/>
        <i/>
      </font>
      <fill>
        <patternFill>
          <bgColor rgb="FF00B050"/>
        </patternFill>
      </fill>
    </dxf>
    <dxf>
      <font>
        <b val="0"/>
        <i val="0"/>
      </font>
      <fill>
        <patternFill patternType="none">
          <bgColor auto="1"/>
        </patternFill>
      </fill>
    </dxf>
    <dxf>
      <font>
        <b/>
        <i/>
      </font>
      <fill>
        <patternFill patternType="solid">
          <bgColor rgb="FF00B050"/>
        </patternFill>
      </fill>
    </dxf>
    <dxf>
      <font>
        <b/>
        <i/>
      </font>
      <fill>
        <patternFill patternType="solid">
          <bgColor rgb="FF00B050"/>
        </patternFill>
      </fill>
    </dxf>
    <dxf>
      <font>
        <b/>
        <i/>
      </font>
      <fill>
        <patternFill>
          <bgColor rgb="FF00B050"/>
        </patternFill>
      </fill>
    </dxf>
    <dxf>
      <font>
        <b val="0"/>
        <i val="0"/>
      </font>
      <fill>
        <patternFill patternType="none">
          <bgColor auto="1"/>
        </patternFill>
      </fill>
    </dxf>
    <dxf>
      <font>
        <b/>
        <i/>
      </font>
      <fill>
        <patternFill>
          <bgColor rgb="FF00B050"/>
        </patternFill>
      </fill>
    </dxf>
    <dxf>
      <font>
        <b val="0"/>
        <i val="0"/>
      </font>
      <fill>
        <patternFill patternType="none">
          <bgColor auto="1"/>
        </patternFill>
      </fill>
    </dxf>
    <dxf>
      <font>
        <b/>
        <i/>
      </font>
      <fill>
        <patternFill>
          <bgColor rgb="FFFF0000"/>
        </patternFill>
      </fill>
    </dxf>
    <dxf>
      <font>
        <b/>
        <i/>
      </font>
      <fill>
        <patternFill patternType="solid">
          <bgColor rgb="FF00B050"/>
        </patternFill>
      </fill>
    </dxf>
    <dxf>
      <font>
        <b/>
        <i/>
      </font>
      <fill>
        <patternFill patternType="solid">
          <bgColor rgb="FF00B050"/>
        </patternFill>
      </fill>
    </dxf>
    <dxf>
      <font>
        <b/>
        <i/>
      </font>
      <fill>
        <patternFill>
          <bgColor rgb="FF00B050"/>
        </patternFill>
      </fill>
    </dxf>
    <dxf>
      <font>
        <b val="0"/>
        <i val="0"/>
      </font>
      <fill>
        <patternFill patternType="none">
          <bgColor auto="1"/>
        </patternFill>
      </fill>
    </dxf>
    <dxf>
      <font>
        <b/>
        <i/>
      </font>
      <fill>
        <patternFill>
          <bgColor rgb="FF00B050"/>
        </patternFill>
      </fill>
    </dxf>
    <dxf>
      <font>
        <b val="0"/>
        <i val="0"/>
      </font>
      <fill>
        <patternFill patternType="none">
          <bgColor auto="1"/>
        </patternFill>
      </fill>
    </dxf>
    <dxf>
      <font>
        <b/>
        <i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val>
            <c:numRef>
              <c:f>Лист1!$C$4:$C$15</c:f>
              <c:numCache>
                <c:formatCode>General</c:formatCode>
                <c:ptCount val="12"/>
                <c:pt idx="0">
                  <c:v>6305</c:v>
                </c:pt>
                <c:pt idx="1">
                  <c:v>21226</c:v>
                </c:pt>
                <c:pt idx="2">
                  <c:v>27531</c:v>
                </c:pt>
                <c:pt idx="3">
                  <c:v>48757</c:v>
                </c:pt>
                <c:pt idx="4">
                  <c:v>14921</c:v>
                </c:pt>
                <c:pt idx="5">
                  <c:v>16779</c:v>
                </c:pt>
                <c:pt idx="6">
                  <c:v>-6305</c:v>
                </c:pt>
                <c:pt idx="7">
                  <c:v>-21226</c:v>
                </c:pt>
                <c:pt idx="8">
                  <c:v>-27531</c:v>
                </c:pt>
                <c:pt idx="9">
                  <c:v>-48757</c:v>
                </c:pt>
                <c:pt idx="10">
                  <c:v>-14921</c:v>
                </c:pt>
                <c:pt idx="11">
                  <c:v>-16779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layout/>
      <c:overlay val="0"/>
    </c:title>
    <c:autoTitleDeleted val="0"/>
    <c:view3D>
      <c:rotX val="15"/>
      <c:rotY val="15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Значения</c:v>
          </c:tx>
          <c:invertIfNegative val="0"/>
          <c:val>
            <c:numRef>
              <c:f>Лист1!$C$4:$C$15</c:f>
              <c:numCache>
                <c:formatCode>General</c:formatCode>
                <c:ptCount val="12"/>
                <c:pt idx="0">
                  <c:v>6305</c:v>
                </c:pt>
                <c:pt idx="1">
                  <c:v>21226</c:v>
                </c:pt>
                <c:pt idx="2">
                  <c:v>27531</c:v>
                </c:pt>
                <c:pt idx="3">
                  <c:v>48757</c:v>
                </c:pt>
                <c:pt idx="4">
                  <c:v>14921</c:v>
                </c:pt>
                <c:pt idx="5">
                  <c:v>16779</c:v>
                </c:pt>
                <c:pt idx="6">
                  <c:v>-6305</c:v>
                </c:pt>
                <c:pt idx="7">
                  <c:v>-21226</c:v>
                </c:pt>
                <c:pt idx="8">
                  <c:v>-27531</c:v>
                </c:pt>
                <c:pt idx="9">
                  <c:v>-48757</c:v>
                </c:pt>
                <c:pt idx="10">
                  <c:v>-14921</c:v>
                </c:pt>
                <c:pt idx="11">
                  <c:v>-16779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3829504"/>
        <c:axId val="43454464"/>
        <c:axId val="0"/>
      </c:bar3DChart>
      <c:catAx>
        <c:axId val="43829504"/>
        <c:scaling>
          <c:orientation val="minMax"/>
        </c:scaling>
        <c:delete val="0"/>
        <c:axPos val="b"/>
        <c:majorTickMark val="out"/>
        <c:minorTickMark val="none"/>
        <c:tickLblPos val="nextTo"/>
        <c:crossAx val="43454464"/>
        <c:crosses val="autoZero"/>
        <c:auto val="1"/>
        <c:lblAlgn val="ctr"/>
        <c:lblOffset val="100"/>
        <c:noMultiLvlLbl val="0"/>
      </c:catAx>
      <c:valAx>
        <c:axId val="43454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8295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3</xdr:row>
      <xdr:rowOff>72390</xdr:rowOff>
    </xdr:from>
    <xdr:to>
      <xdr:col>11</xdr:col>
      <xdr:colOff>228600</xdr:colOff>
      <xdr:row>21</xdr:row>
      <xdr:rowOff>106680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38100</xdr:colOff>
      <xdr:row>5</xdr:row>
      <xdr:rowOff>95250</xdr:rowOff>
    </xdr:from>
    <xdr:to>
      <xdr:col>19</xdr:col>
      <xdr:colOff>342900</xdr:colOff>
      <xdr:row>20</xdr:row>
      <xdr:rowOff>95250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B101"/>
  <sheetViews>
    <sheetView tabSelected="1" zoomScaleNormal="100" workbookViewId="0">
      <selection activeCell="G11" sqref="G10:Y15"/>
    </sheetView>
  </sheetViews>
  <sheetFormatPr defaultRowHeight="14.4" x14ac:dyDescent="0.3"/>
  <cols>
    <col min="4" max="4" width="3.33203125" customWidth="1"/>
    <col min="6" max="6" width="4.44140625" customWidth="1"/>
    <col min="7" max="25" width="2.109375" customWidth="1"/>
    <col min="26" max="26" width="3.77734375" customWidth="1"/>
    <col min="27" max="27" width="1.77734375" customWidth="1"/>
    <col min="28" max="28" width="8.88671875" customWidth="1"/>
    <col min="29" max="32" width="3.77734375" customWidth="1"/>
    <col min="33" max="33" width="8.88671875" customWidth="1"/>
    <col min="34" max="34" width="3.77734375" customWidth="1"/>
    <col min="35" max="35" width="49.33203125" customWidth="1"/>
    <col min="36" max="47" width="1.77734375" customWidth="1"/>
    <col min="48" max="48" width="1.88671875" customWidth="1"/>
    <col min="49" max="54" width="1.77734375" customWidth="1"/>
  </cols>
  <sheetData>
    <row r="1" spans="1:54" x14ac:dyDescent="0.3">
      <c r="B1" t="s">
        <v>0</v>
      </c>
      <c r="C1">
        <v>6305</v>
      </c>
    </row>
    <row r="2" spans="1:54" x14ac:dyDescent="0.3">
      <c r="B2" t="s">
        <v>1</v>
      </c>
      <c r="C2">
        <v>21226</v>
      </c>
    </row>
    <row r="4" spans="1:54" x14ac:dyDescent="0.3">
      <c r="A4" t="s">
        <v>2</v>
      </c>
      <c r="B4" t="s">
        <v>0</v>
      </c>
      <c r="C4">
        <f>C1</f>
        <v>6305</v>
      </c>
      <c r="E4" t="s">
        <v>24</v>
      </c>
      <c r="G4" s="16">
        <f>IF(C4&gt;0, 0, 1)</f>
        <v>0</v>
      </c>
      <c r="H4" s="16">
        <f>MOD(QUOTIENT(C4, 16384), 2)</f>
        <v>0</v>
      </c>
      <c r="I4" s="16">
        <f>MOD(QUOTIENT(C4, 8192), 2)</f>
        <v>0</v>
      </c>
      <c r="J4" s="16">
        <f>MOD(QUOTIENT(C4, 4096), 2)</f>
        <v>1</v>
      </c>
      <c r="K4" s="16" t="s">
        <v>36</v>
      </c>
      <c r="L4" s="16">
        <f>MOD(QUOTIENT(C4, 2048), 2)</f>
        <v>1</v>
      </c>
      <c r="M4" s="16">
        <f>MOD(QUOTIENT(C4, 1024), 2)</f>
        <v>0</v>
      </c>
      <c r="N4" s="16">
        <f>MOD(QUOTIENT(C4, 512), 2)</f>
        <v>0</v>
      </c>
      <c r="O4" s="16">
        <f>MOD(QUOTIENT(C4, 256), 2)</f>
        <v>0</v>
      </c>
      <c r="P4" s="16" t="s">
        <v>36</v>
      </c>
      <c r="Q4" s="16">
        <f>MOD(QUOTIENT(C4, 128), 2)</f>
        <v>1</v>
      </c>
      <c r="R4" s="16">
        <f>MOD(QUOTIENT(C4, 64), 2)</f>
        <v>0</v>
      </c>
      <c r="S4" s="16">
        <f>MOD(QUOTIENT(C4, 32), 2)</f>
        <v>1</v>
      </c>
      <c r="T4" s="16">
        <f>MOD(QUOTIENT(C4, 16), 2)</f>
        <v>0</v>
      </c>
      <c r="U4" s="16" t="s">
        <v>36</v>
      </c>
      <c r="V4" s="16">
        <f>MOD(QUOTIENT(C4, 8), 2)</f>
        <v>0</v>
      </c>
      <c r="W4" s="16">
        <f>MOD(QUOTIENT(C4, 4), 2)</f>
        <v>0</v>
      </c>
      <c r="X4" s="16">
        <f>MOD(QUOTIENT(C4, 2), 2)</f>
        <v>0</v>
      </c>
      <c r="Y4" s="16">
        <f>MOD(C4, 2)</f>
        <v>1</v>
      </c>
    </row>
    <row r="5" spans="1:54" x14ac:dyDescent="0.3">
      <c r="A5" t="s">
        <v>3</v>
      </c>
      <c r="B5" t="s">
        <v>1</v>
      </c>
      <c r="C5">
        <f>C2</f>
        <v>21226</v>
      </c>
      <c r="E5" t="s">
        <v>25</v>
      </c>
      <c r="G5" s="16">
        <f t="shared" ref="G5:G9" si="0">IF(C5&gt;0, 0, 1)</f>
        <v>0</v>
      </c>
      <c r="H5" s="16">
        <f t="shared" ref="H5:H9" si="1">MOD(QUOTIENT(C5, 16384), 2)</f>
        <v>1</v>
      </c>
      <c r="I5" s="16">
        <f t="shared" ref="I5:I9" si="2">MOD(QUOTIENT(C5, 8192), 2)</f>
        <v>0</v>
      </c>
      <c r="J5" s="16">
        <f t="shared" ref="J5:J9" si="3">MOD(QUOTIENT(C5, 4096), 2)</f>
        <v>1</v>
      </c>
      <c r="K5" s="16" t="s">
        <v>36</v>
      </c>
      <c r="L5" s="16">
        <f t="shared" ref="L5:L9" si="4">MOD(QUOTIENT(C5, 2048), 2)</f>
        <v>0</v>
      </c>
      <c r="M5" s="16">
        <f t="shared" ref="M5:M9" si="5">MOD(QUOTIENT(C5, 1024), 2)</f>
        <v>0</v>
      </c>
      <c r="N5" s="16">
        <f t="shared" ref="N5:N9" si="6">MOD(QUOTIENT(C5, 512), 2)</f>
        <v>1</v>
      </c>
      <c r="O5" s="16">
        <f t="shared" ref="O5:O9" si="7">MOD(QUOTIENT(C5, 256), 2)</f>
        <v>0</v>
      </c>
      <c r="P5" s="16" t="s">
        <v>36</v>
      </c>
      <c r="Q5" s="16">
        <f t="shared" ref="Q5:Q9" si="8">MOD(QUOTIENT(C5, 128), 2)</f>
        <v>1</v>
      </c>
      <c r="R5" s="16">
        <f t="shared" ref="R5:R9" si="9">MOD(QUOTIENT(C5, 64), 2)</f>
        <v>1</v>
      </c>
      <c r="S5" s="16">
        <f t="shared" ref="S5:S9" si="10">MOD(QUOTIENT(C5, 32), 2)</f>
        <v>1</v>
      </c>
      <c r="T5" s="16">
        <f t="shared" ref="T5:T9" si="11">MOD(QUOTIENT(C5, 16), 2)</f>
        <v>0</v>
      </c>
      <c r="U5" s="16" t="s">
        <v>36</v>
      </c>
      <c r="V5" s="16">
        <f t="shared" ref="V5:V9" si="12">MOD(QUOTIENT(C5, 8), 2)</f>
        <v>1</v>
      </c>
      <c r="W5" s="16">
        <f t="shared" ref="W5:W9" si="13">MOD(QUOTIENT(C5, 4), 2)</f>
        <v>0</v>
      </c>
      <c r="X5" s="16">
        <f t="shared" ref="X5:X9" si="14">MOD(QUOTIENT(C5, 2), 2)</f>
        <v>1</v>
      </c>
      <c r="Y5" s="16">
        <f t="shared" ref="Y5:Y9" si="15">MOD(C5, 2)</f>
        <v>0</v>
      </c>
    </row>
    <row r="6" spans="1:54" x14ac:dyDescent="0.3">
      <c r="A6" t="s">
        <v>4</v>
      </c>
      <c r="B6" t="s">
        <v>5</v>
      </c>
      <c r="C6">
        <f>C1+C2</f>
        <v>27531</v>
      </c>
      <c r="E6" t="s">
        <v>26</v>
      </c>
      <c r="G6" s="16">
        <f t="shared" si="0"/>
        <v>0</v>
      </c>
      <c r="H6" s="16">
        <f t="shared" si="1"/>
        <v>1</v>
      </c>
      <c r="I6" s="16">
        <f t="shared" si="2"/>
        <v>1</v>
      </c>
      <c r="J6" s="16">
        <f t="shared" si="3"/>
        <v>0</v>
      </c>
      <c r="K6" s="16" t="s">
        <v>36</v>
      </c>
      <c r="L6" s="16">
        <f t="shared" si="4"/>
        <v>1</v>
      </c>
      <c r="M6" s="16">
        <f t="shared" si="5"/>
        <v>0</v>
      </c>
      <c r="N6" s="16">
        <f t="shared" si="6"/>
        <v>1</v>
      </c>
      <c r="O6" s="16">
        <f t="shared" si="7"/>
        <v>1</v>
      </c>
      <c r="P6" s="16" t="s">
        <v>36</v>
      </c>
      <c r="Q6" s="16">
        <f t="shared" si="8"/>
        <v>1</v>
      </c>
      <c r="R6" s="16">
        <f t="shared" si="9"/>
        <v>0</v>
      </c>
      <c r="S6" s="16">
        <f t="shared" si="10"/>
        <v>0</v>
      </c>
      <c r="T6" s="16">
        <f t="shared" si="11"/>
        <v>0</v>
      </c>
      <c r="U6" s="16" t="s">
        <v>36</v>
      </c>
      <c r="V6" s="16">
        <f t="shared" si="12"/>
        <v>1</v>
      </c>
      <c r="W6" s="16">
        <f t="shared" si="13"/>
        <v>0</v>
      </c>
      <c r="X6" s="16">
        <f t="shared" si="14"/>
        <v>1</v>
      </c>
      <c r="Y6" s="16">
        <f t="shared" si="15"/>
        <v>1</v>
      </c>
    </row>
    <row r="7" spans="1:54" x14ac:dyDescent="0.3">
      <c r="A7" t="s">
        <v>6</v>
      </c>
      <c r="B7" t="s">
        <v>7</v>
      </c>
      <c r="C7">
        <f>C1+C2+C2</f>
        <v>48757</v>
      </c>
      <c r="E7" t="s">
        <v>27</v>
      </c>
      <c r="G7" s="16">
        <f t="shared" si="0"/>
        <v>0</v>
      </c>
      <c r="H7" s="16">
        <f t="shared" si="1"/>
        <v>0</v>
      </c>
      <c r="I7" s="16">
        <f t="shared" si="2"/>
        <v>1</v>
      </c>
      <c r="J7" s="16">
        <f t="shared" si="3"/>
        <v>1</v>
      </c>
      <c r="K7" s="16" t="s">
        <v>36</v>
      </c>
      <c r="L7" s="16">
        <f t="shared" si="4"/>
        <v>1</v>
      </c>
      <c r="M7" s="16">
        <f t="shared" si="5"/>
        <v>1</v>
      </c>
      <c r="N7" s="16">
        <f t="shared" si="6"/>
        <v>1</v>
      </c>
      <c r="O7" s="16">
        <f t="shared" si="7"/>
        <v>0</v>
      </c>
      <c r="P7" s="16" t="s">
        <v>36</v>
      </c>
      <c r="Q7" s="16">
        <f t="shared" si="8"/>
        <v>0</v>
      </c>
      <c r="R7" s="16">
        <f t="shared" si="9"/>
        <v>1</v>
      </c>
      <c r="S7" s="16">
        <f t="shared" si="10"/>
        <v>1</v>
      </c>
      <c r="T7" s="16">
        <f t="shared" si="11"/>
        <v>1</v>
      </c>
      <c r="U7" s="16" t="s">
        <v>36</v>
      </c>
      <c r="V7" s="16">
        <f t="shared" si="12"/>
        <v>0</v>
      </c>
      <c r="W7" s="16">
        <f t="shared" si="13"/>
        <v>1</v>
      </c>
      <c r="X7" s="16">
        <f t="shared" si="14"/>
        <v>0</v>
      </c>
      <c r="Y7" s="16">
        <f t="shared" si="15"/>
        <v>1</v>
      </c>
    </row>
    <row r="8" spans="1:54" x14ac:dyDescent="0.3">
      <c r="A8" t="s">
        <v>8</v>
      </c>
      <c r="B8" t="s">
        <v>9</v>
      </c>
      <c r="C8">
        <f>C2-C1</f>
        <v>14921</v>
      </c>
      <c r="E8" t="s">
        <v>28</v>
      </c>
      <c r="G8">
        <f t="shared" si="0"/>
        <v>0</v>
      </c>
      <c r="H8">
        <f t="shared" si="1"/>
        <v>0</v>
      </c>
      <c r="I8">
        <f t="shared" si="2"/>
        <v>1</v>
      </c>
      <c r="J8">
        <f t="shared" si="3"/>
        <v>1</v>
      </c>
      <c r="K8" t="s">
        <v>36</v>
      </c>
      <c r="L8">
        <f t="shared" si="4"/>
        <v>1</v>
      </c>
      <c r="M8">
        <f t="shared" si="5"/>
        <v>0</v>
      </c>
      <c r="N8">
        <f t="shared" si="6"/>
        <v>1</v>
      </c>
      <c r="O8">
        <f t="shared" si="7"/>
        <v>0</v>
      </c>
      <c r="P8" t="s">
        <v>36</v>
      </c>
      <c r="Q8">
        <f t="shared" si="8"/>
        <v>0</v>
      </c>
      <c r="R8">
        <f t="shared" si="9"/>
        <v>1</v>
      </c>
      <c r="S8">
        <f t="shared" si="10"/>
        <v>0</v>
      </c>
      <c r="T8">
        <f t="shared" si="11"/>
        <v>0</v>
      </c>
      <c r="U8" t="s">
        <v>36</v>
      </c>
      <c r="V8">
        <f t="shared" si="12"/>
        <v>1</v>
      </c>
      <c r="W8">
        <f t="shared" si="13"/>
        <v>0</v>
      </c>
      <c r="X8">
        <f t="shared" si="14"/>
        <v>0</v>
      </c>
      <c r="Y8">
        <f t="shared" si="15"/>
        <v>1</v>
      </c>
    </row>
    <row r="9" spans="1:54" x14ac:dyDescent="0.3">
      <c r="A9" t="s">
        <v>10</v>
      </c>
      <c r="B9" t="s">
        <v>11</v>
      </c>
      <c r="C9">
        <f>65536-C7</f>
        <v>16779</v>
      </c>
      <c r="E9" t="s">
        <v>29</v>
      </c>
      <c r="G9">
        <f t="shared" si="0"/>
        <v>0</v>
      </c>
      <c r="H9">
        <f t="shared" si="1"/>
        <v>1</v>
      </c>
      <c r="I9">
        <f t="shared" si="2"/>
        <v>0</v>
      </c>
      <c r="J9">
        <f t="shared" si="3"/>
        <v>0</v>
      </c>
      <c r="K9" t="s">
        <v>36</v>
      </c>
      <c r="L9">
        <f t="shared" si="4"/>
        <v>0</v>
      </c>
      <c r="M9">
        <f t="shared" si="5"/>
        <v>0</v>
      </c>
      <c r="N9">
        <f t="shared" si="6"/>
        <v>0</v>
      </c>
      <c r="O9">
        <f t="shared" si="7"/>
        <v>1</v>
      </c>
      <c r="P9" t="s">
        <v>36</v>
      </c>
      <c r="Q9">
        <f t="shared" si="8"/>
        <v>1</v>
      </c>
      <c r="R9">
        <f t="shared" si="9"/>
        <v>0</v>
      </c>
      <c r="S9">
        <f t="shared" si="10"/>
        <v>0</v>
      </c>
      <c r="T9">
        <f t="shared" si="11"/>
        <v>0</v>
      </c>
      <c r="U9" t="s">
        <v>36</v>
      </c>
      <c r="V9">
        <f t="shared" si="12"/>
        <v>1</v>
      </c>
      <c r="W9">
        <f t="shared" si="13"/>
        <v>0</v>
      </c>
      <c r="X9">
        <f t="shared" si="14"/>
        <v>1</v>
      </c>
      <c r="Y9">
        <f t="shared" si="15"/>
        <v>1</v>
      </c>
    </row>
    <row r="10" spans="1:54" x14ac:dyDescent="0.3">
      <c r="A10" t="s">
        <v>12</v>
      </c>
      <c r="B10" s="1" t="s">
        <v>13</v>
      </c>
      <c r="C10">
        <f>-C4</f>
        <v>-6305</v>
      </c>
      <c r="E10" t="s">
        <v>30</v>
      </c>
      <c r="F10" s="1" t="s">
        <v>37</v>
      </c>
      <c r="G10" s="17">
        <f>MOD(IF(G4=0, 1, 0)+AK10, 2)</f>
        <v>1</v>
      </c>
      <c r="H10" s="17">
        <f>MOD(IF(H4=0, 1, 0)+AL10, 2)</f>
        <v>1</v>
      </c>
      <c r="I10" s="17">
        <f>MOD(IF(I4=0, 1, 0)+AM10, 2)</f>
        <v>1</v>
      </c>
      <c r="J10" s="17">
        <f>MOD(IF(J4=0, 1, 0)+AO10, 2)</f>
        <v>0</v>
      </c>
      <c r="K10" s="17" t="s">
        <v>36</v>
      </c>
      <c r="L10" s="17">
        <f>MOD(IF(L4=0, 1, 0)+AP10, 2)</f>
        <v>0</v>
      </c>
      <c r="M10" s="17">
        <f t="shared" ref="M10:N10" si="16">MOD(IF(M4=0, 1, 0)+AQ10, 2)</f>
        <v>1</v>
      </c>
      <c r="N10" s="17">
        <f t="shared" si="16"/>
        <v>1</v>
      </c>
      <c r="O10" s="17">
        <f>MOD(IF(O4=0, 1, 0)+AT10, 2)</f>
        <v>1</v>
      </c>
      <c r="P10" s="17" t="s">
        <v>36</v>
      </c>
      <c r="Q10" s="17">
        <f>MOD(IF(Q4=0, 1, 0)+AU10, 2)</f>
        <v>0</v>
      </c>
      <c r="R10" s="17">
        <f t="shared" ref="R10:S10" si="17">MOD(IF(R4=0, 1, 0)+AV10, 2)</f>
        <v>1</v>
      </c>
      <c r="S10" s="17">
        <f t="shared" si="17"/>
        <v>0</v>
      </c>
      <c r="T10" s="17">
        <f>MOD(IF(T4=0, 1, 0)+AY10, 2)</f>
        <v>1</v>
      </c>
      <c r="U10" s="17" t="s">
        <v>36</v>
      </c>
      <c r="V10" s="17">
        <f>MOD(IF(V4=0, 1, 0)+AZ10, 2)</f>
        <v>1</v>
      </c>
      <c r="W10" s="17">
        <f t="shared" ref="W10:X10" si="18">MOD(IF(W4=0, 1, 0)+BA10, 2)</f>
        <v>1</v>
      </c>
      <c r="X10" s="17">
        <f t="shared" si="18"/>
        <v>1</v>
      </c>
      <c r="Y10" s="17">
        <f>MOD(IF(Y4=0, 1, 0)+BD10, 2)</f>
        <v>0</v>
      </c>
      <c r="AJ10">
        <f t="shared" ref="AJ10:AJ15" si="19">IF(IF(G4=0, 1, 0)+AK10=2,1,0)</f>
        <v>0</v>
      </c>
      <c r="AK10">
        <f t="shared" ref="AK10:AL15" si="20">IF(IF(H4=0, 1, 0)+AL10=2, 1,0)</f>
        <v>0</v>
      </c>
      <c r="AL10">
        <f t="shared" si="20"/>
        <v>0</v>
      </c>
      <c r="AM10">
        <f t="shared" ref="AM10:AM15" si="21">IF(IF(J4=0, 1, 0)+AO10=2, 1,0)</f>
        <v>0</v>
      </c>
      <c r="AN10" t="s">
        <v>36</v>
      </c>
      <c r="AO10">
        <f t="shared" ref="AO10:AQ15" si="22">IF(IF(L4=0, 1, 0)+AP10=2, 1,0)</f>
        <v>0</v>
      </c>
      <c r="AP10">
        <f t="shared" si="22"/>
        <v>0</v>
      </c>
      <c r="AQ10">
        <f t="shared" si="22"/>
        <v>0</v>
      </c>
      <c r="AR10">
        <f t="shared" ref="AR10:AR15" si="23">IF(IF(O4=0, 1, 0)+AT10=2, 1,0)</f>
        <v>0</v>
      </c>
      <c r="AS10" t="s">
        <v>36</v>
      </c>
      <c r="AT10">
        <f t="shared" ref="AT10:AV15" si="24">IF(IF(Q4=0, 1, 0)+AU10=2, 1,0)</f>
        <v>0</v>
      </c>
      <c r="AU10">
        <f t="shared" si="24"/>
        <v>0</v>
      </c>
      <c r="AV10">
        <f t="shared" si="24"/>
        <v>0</v>
      </c>
      <c r="AW10">
        <f t="shared" ref="AW10:AW15" si="25">IF(IF(T4=0, 1, 0)+AY10=2, 1,0)</f>
        <v>0</v>
      </c>
      <c r="AX10" t="s">
        <v>36</v>
      </c>
      <c r="AY10">
        <f t="shared" ref="AY10:BA15" si="26">IF(IF(V4=0, 1, 0)+AZ10=2, 1,0)</f>
        <v>0</v>
      </c>
      <c r="AZ10">
        <f t="shared" si="26"/>
        <v>0</v>
      </c>
      <c r="BA10">
        <f t="shared" si="26"/>
        <v>0</v>
      </c>
      <c r="BB10">
        <f t="shared" ref="BB10:BB15" si="27">IF(IF(Y4=0, 1, 0)+1=2, 1,0)</f>
        <v>0</v>
      </c>
    </row>
    <row r="11" spans="1:54" x14ac:dyDescent="0.3">
      <c r="A11" t="s">
        <v>14</v>
      </c>
      <c r="B11" s="1" t="s">
        <v>15</v>
      </c>
      <c r="C11">
        <f t="shared" ref="C11:C15" si="28">-C5</f>
        <v>-21226</v>
      </c>
      <c r="E11" t="s">
        <v>31</v>
      </c>
      <c r="F11" s="1" t="s">
        <v>38</v>
      </c>
      <c r="G11" s="17">
        <f t="shared" ref="G11:I11" si="29">MOD(IF(G5=0, 1, 0)+AK11, 2)</f>
        <v>1</v>
      </c>
      <c r="H11" s="17">
        <f t="shared" si="29"/>
        <v>0</v>
      </c>
      <c r="I11" s="17">
        <f t="shared" si="29"/>
        <v>1</v>
      </c>
      <c r="J11" s="17">
        <f t="shared" ref="J11:J15" si="30">MOD(IF(J5=0, 1, 0)+AO11, 2)</f>
        <v>0</v>
      </c>
      <c r="K11" s="17" t="s">
        <v>36</v>
      </c>
      <c r="L11" s="17">
        <f t="shared" ref="L11:L15" si="31">MOD(IF(L5=0, 1, 0)+AP11, 2)</f>
        <v>1</v>
      </c>
      <c r="M11" s="17">
        <f t="shared" ref="M11:M15" si="32">MOD(IF(M5=0, 1, 0)+AQ11, 2)</f>
        <v>1</v>
      </c>
      <c r="N11" s="17">
        <f t="shared" ref="N11:N15" si="33">MOD(IF(N5=0, 1, 0)+AR11, 2)</f>
        <v>0</v>
      </c>
      <c r="O11" s="17">
        <f t="shared" ref="O11:O15" si="34">MOD(IF(O5=0, 1, 0)+AT11, 2)</f>
        <v>1</v>
      </c>
      <c r="P11" s="17" t="s">
        <v>36</v>
      </c>
      <c r="Q11" s="17">
        <f t="shared" ref="Q11:Q15" si="35">MOD(IF(Q5=0, 1, 0)+AU11, 2)</f>
        <v>0</v>
      </c>
      <c r="R11" s="17">
        <f t="shared" ref="R11:R15" si="36">MOD(IF(R5=0, 1, 0)+AV11, 2)</f>
        <v>0</v>
      </c>
      <c r="S11" s="17">
        <f t="shared" ref="S11:S15" si="37">MOD(IF(S5=0, 1, 0)+AW11, 2)</f>
        <v>0</v>
      </c>
      <c r="T11" s="17">
        <f t="shared" ref="T11:T15" si="38">MOD(IF(T5=0, 1, 0)+AY11, 2)</f>
        <v>1</v>
      </c>
      <c r="U11" s="17" t="s">
        <v>36</v>
      </c>
      <c r="V11" s="17">
        <f t="shared" ref="V11:V15" si="39">MOD(IF(V5=0, 1, 0)+AZ11, 2)</f>
        <v>0</v>
      </c>
      <c r="W11" s="17">
        <f t="shared" ref="W11:W15" si="40">MOD(IF(W5=0, 1, 0)+BA11, 2)</f>
        <v>1</v>
      </c>
      <c r="X11" s="17">
        <f t="shared" ref="X11:X15" si="41">MOD(IF(X5=0, 1, 0)+BB11, 2)</f>
        <v>1</v>
      </c>
      <c r="Y11" s="17">
        <f t="shared" ref="Y11:Y15" si="42">MOD(IF(Y5=0, 1, 0)+BD11, 2)</f>
        <v>1</v>
      </c>
      <c r="AJ11">
        <f t="shared" si="19"/>
        <v>0</v>
      </c>
      <c r="AK11">
        <f t="shared" si="20"/>
        <v>0</v>
      </c>
      <c r="AL11">
        <f t="shared" si="20"/>
        <v>0</v>
      </c>
      <c r="AM11">
        <f t="shared" si="21"/>
        <v>0</v>
      </c>
      <c r="AN11" t="s">
        <v>36</v>
      </c>
      <c r="AO11">
        <f t="shared" si="22"/>
        <v>0</v>
      </c>
      <c r="AP11">
        <f t="shared" si="22"/>
        <v>0</v>
      </c>
      <c r="AQ11">
        <f t="shared" si="22"/>
        <v>0</v>
      </c>
      <c r="AR11">
        <f t="shared" si="23"/>
        <v>0</v>
      </c>
      <c r="AS11" t="s">
        <v>36</v>
      </c>
      <c r="AT11">
        <f t="shared" si="24"/>
        <v>0</v>
      </c>
      <c r="AU11">
        <f t="shared" si="24"/>
        <v>0</v>
      </c>
      <c r="AV11">
        <f t="shared" si="24"/>
        <v>0</v>
      </c>
      <c r="AW11">
        <f t="shared" si="25"/>
        <v>0</v>
      </c>
      <c r="AX11" t="s">
        <v>36</v>
      </c>
      <c r="AY11">
        <f t="shared" si="26"/>
        <v>0</v>
      </c>
      <c r="AZ11">
        <f t="shared" si="26"/>
        <v>0</v>
      </c>
      <c r="BA11">
        <f t="shared" si="26"/>
        <v>0</v>
      </c>
      <c r="BB11">
        <f t="shared" si="27"/>
        <v>1</v>
      </c>
    </row>
    <row r="12" spans="1:54" x14ac:dyDescent="0.3">
      <c r="A12" t="s">
        <v>16</v>
      </c>
      <c r="B12" s="1" t="s">
        <v>17</v>
      </c>
      <c r="C12">
        <f t="shared" si="28"/>
        <v>-27531</v>
      </c>
      <c r="E12" t="s">
        <v>32</v>
      </c>
      <c r="F12" s="1" t="s">
        <v>39</v>
      </c>
      <c r="G12" s="17">
        <f t="shared" ref="G12:I12" si="43">MOD(IF(G6=0, 1, 0)+AK12, 2)</f>
        <v>1</v>
      </c>
      <c r="H12" s="17">
        <f t="shared" si="43"/>
        <v>0</v>
      </c>
      <c r="I12" s="17">
        <f t="shared" si="43"/>
        <v>0</v>
      </c>
      <c r="J12" s="17">
        <f t="shared" si="30"/>
        <v>1</v>
      </c>
      <c r="K12" s="17" t="s">
        <v>36</v>
      </c>
      <c r="L12" s="17">
        <f t="shared" si="31"/>
        <v>0</v>
      </c>
      <c r="M12" s="17">
        <f t="shared" si="32"/>
        <v>1</v>
      </c>
      <c r="N12" s="17">
        <f t="shared" si="33"/>
        <v>0</v>
      </c>
      <c r="O12" s="17">
        <f t="shared" si="34"/>
        <v>0</v>
      </c>
      <c r="P12" s="17" t="s">
        <v>36</v>
      </c>
      <c r="Q12" s="17">
        <f t="shared" si="35"/>
        <v>0</v>
      </c>
      <c r="R12" s="17">
        <f t="shared" si="36"/>
        <v>1</v>
      </c>
      <c r="S12" s="17">
        <f t="shared" si="37"/>
        <v>1</v>
      </c>
      <c r="T12" s="17">
        <f t="shared" si="38"/>
        <v>1</v>
      </c>
      <c r="U12" s="17" t="s">
        <v>36</v>
      </c>
      <c r="V12" s="17">
        <f t="shared" si="39"/>
        <v>0</v>
      </c>
      <c r="W12" s="17">
        <f t="shared" si="40"/>
        <v>1</v>
      </c>
      <c r="X12" s="17">
        <f t="shared" si="41"/>
        <v>0</v>
      </c>
      <c r="Y12" s="17">
        <f t="shared" si="42"/>
        <v>0</v>
      </c>
      <c r="AJ12">
        <f t="shared" si="19"/>
        <v>0</v>
      </c>
      <c r="AK12">
        <f t="shared" si="20"/>
        <v>0</v>
      </c>
      <c r="AL12">
        <f t="shared" si="20"/>
        <v>0</v>
      </c>
      <c r="AM12">
        <f t="shared" si="21"/>
        <v>0</v>
      </c>
      <c r="AN12" t="s">
        <v>36</v>
      </c>
      <c r="AO12">
        <f t="shared" si="22"/>
        <v>0</v>
      </c>
      <c r="AP12">
        <f t="shared" si="22"/>
        <v>0</v>
      </c>
      <c r="AQ12">
        <f t="shared" si="22"/>
        <v>0</v>
      </c>
      <c r="AR12">
        <f t="shared" si="23"/>
        <v>0</v>
      </c>
      <c r="AS12" t="s">
        <v>36</v>
      </c>
      <c r="AT12">
        <f t="shared" si="24"/>
        <v>0</v>
      </c>
      <c r="AU12">
        <f t="shared" si="24"/>
        <v>0</v>
      </c>
      <c r="AV12">
        <f t="shared" si="24"/>
        <v>0</v>
      </c>
      <c r="AW12">
        <f t="shared" si="25"/>
        <v>0</v>
      </c>
      <c r="AX12" t="s">
        <v>36</v>
      </c>
      <c r="AY12">
        <f t="shared" si="26"/>
        <v>0</v>
      </c>
      <c r="AZ12">
        <f t="shared" si="26"/>
        <v>0</v>
      </c>
      <c r="BA12">
        <f t="shared" si="26"/>
        <v>0</v>
      </c>
      <c r="BB12">
        <f t="shared" si="27"/>
        <v>0</v>
      </c>
    </row>
    <row r="13" spans="1:54" x14ac:dyDescent="0.3">
      <c r="A13" t="s">
        <v>18</v>
      </c>
      <c r="B13" s="1" t="s">
        <v>21</v>
      </c>
      <c r="C13">
        <f t="shared" si="28"/>
        <v>-48757</v>
      </c>
      <c r="E13" t="s">
        <v>33</v>
      </c>
      <c r="F13" s="1" t="s">
        <v>40</v>
      </c>
      <c r="G13" s="17">
        <f t="shared" ref="G13:I13" si="44">MOD(IF(G7=0, 1, 0)+AK13, 2)</f>
        <v>1</v>
      </c>
      <c r="H13" s="17">
        <f t="shared" si="44"/>
        <v>1</v>
      </c>
      <c r="I13" s="17">
        <f t="shared" si="44"/>
        <v>0</v>
      </c>
      <c r="J13" s="17">
        <f t="shared" si="30"/>
        <v>0</v>
      </c>
      <c r="K13" s="17" t="s">
        <v>36</v>
      </c>
      <c r="L13" s="17">
        <f t="shared" si="31"/>
        <v>0</v>
      </c>
      <c r="M13" s="17">
        <f t="shared" si="32"/>
        <v>0</v>
      </c>
      <c r="N13" s="17">
        <f t="shared" si="33"/>
        <v>0</v>
      </c>
      <c r="O13" s="17">
        <f t="shared" si="34"/>
        <v>1</v>
      </c>
      <c r="P13" s="17" t="s">
        <v>36</v>
      </c>
      <c r="Q13" s="17">
        <f t="shared" si="35"/>
        <v>1</v>
      </c>
      <c r="R13" s="17">
        <f t="shared" si="36"/>
        <v>0</v>
      </c>
      <c r="S13" s="17">
        <f t="shared" si="37"/>
        <v>0</v>
      </c>
      <c r="T13" s="17">
        <f t="shared" si="38"/>
        <v>0</v>
      </c>
      <c r="U13" s="17" t="s">
        <v>36</v>
      </c>
      <c r="V13" s="17">
        <f t="shared" si="39"/>
        <v>1</v>
      </c>
      <c r="W13" s="17">
        <f t="shared" si="40"/>
        <v>0</v>
      </c>
      <c r="X13" s="17">
        <f t="shared" si="41"/>
        <v>1</v>
      </c>
      <c r="Y13" s="17">
        <f t="shared" si="42"/>
        <v>0</v>
      </c>
      <c r="AJ13">
        <f t="shared" si="19"/>
        <v>0</v>
      </c>
      <c r="AK13">
        <f t="shared" si="20"/>
        <v>0</v>
      </c>
      <c r="AL13">
        <f t="shared" si="20"/>
        <v>0</v>
      </c>
      <c r="AM13">
        <f t="shared" si="21"/>
        <v>0</v>
      </c>
      <c r="AN13" t="s">
        <v>36</v>
      </c>
      <c r="AO13">
        <f t="shared" si="22"/>
        <v>0</v>
      </c>
      <c r="AP13">
        <f t="shared" si="22"/>
        <v>0</v>
      </c>
      <c r="AQ13">
        <f t="shared" si="22"/>
        <v>0</v>
      </c>
      <c r="AR13">
        <f t="shared" si="23"/>
        <v>0</v>
      </c>
      <c r="AS13" t="s">
        <v>36</v>
      </c>
      <c r="AT13">
        <f t="shared" si="24"/>
        <v>0</v>
      </c>
      <c r="AU13">
        <f t="shared" si="24"/>
        <v>0</v>
      </c>
      <c r="AV13">
        <f t="shared" si="24"/>
        <v>0</v>
      </c>
      <c r="AW13">
        <f t="shared" si="25"/>
        <v>0</v>
      </c>
      <c r="AX13" t="s">
        <v>36</v>
      </c>
      <c r="AY13">
        <f t="shared" si="26"/>
        <v>0</v>
      </c>
      <c r="AZ13">
        <f t="shared" si="26"/>
        <v>0</v>
      </c>
      <c r="BA13">
        <f t="shared" si="26"/>
        <v>0</v>
      </c>
      <c r="BB13">
        <f t="shared" si="27"/>
        <v>0</v>
      </c>
    </row>
    <row r="14" spans="1:54" x14ac:dyDescent="0.3">
      <c r="A14" t="s">
        <v>19</v>
      </c>
      <c r="B14" s="1" t="s">
        <v>22</v>
      </c>
      <c r="C14">
        <f t="shared" si="28"/>
        <v>-14921</v>
      </c>
      <c r="E14" t="s">
        <v>34</v>
      </c>
      <c r="F14" s="1" t="s">
        <v>41</v>
      </c>
      <c r="G14" s="17">
        <f t="shared" ref="G14:I14" si="45">MOD(IF(G8=0, 1, 0)+AK14, 2)</f>
        <v>1</v>
      </c>
      <c r="H14" s="17">
        <f t="shared" si="45"/>
        <v>1</v>
      </c>
      <c r="I14" s="17">
        <f t="shared" si="45"/>
        <v>0</v>
      </c>
      <c r="J14" s="17">
        <f t="shared" si="30"/>
        <v>0</v>
      </c>
      <c r="K14" s="17" t="s">
        <v>36</v>
      </c>
      <c r="L14" s="17">
        <f t="shared" si="31"/>
        <v>0</v>
      </c>
      <c r="M14" s="17">
        <f t="shared" si="32"/>
        <v>1</v>
      </c>
      <c r="N14" s="17">
        <f t="shared" si="33"/>
        <v>0</v>
      </c>
      <c r="O14" s="17">
        <f t="shared" si="34"/>
        <v>1</v>
      </c>
      <c r="P14" s="17" t="s">
        <v>36</v>
      </c>
      <c r="Q14" s="17">
        <f t="shared" si="35"/>
        <v>1</v>
      </c>
      <c r="R14" s="17">
        <f t="shared" si="36"/>
        <v>0</v>
      </c>
      <c r="S14" s="17">
        <f t="shared" si="37"/>
        <v>1</v>
      </c>
      <c r="T14" s="17">
        <f t="shared" si="38"/>
        <v>1</v>
      </c>
      <c r="U14" s="17" t="s">
        <v>36</v>
      </c>
      <c r="V14" s="17">
        <f t="shared" si="39"/>
        <v>0</v>
      </c>
      <c r="W14" s="17">
        <f t="shared" si="40"/>
        <v>1</v>
      </c>
      <c r="X14" s="17">
        <f t="shared" si="41"/>
        <v>1</v>
      </c>
      <c r="Y14" s="17">
        <f t="shared" si="42"/>
        <v>0</v>
      </c>
      <c r="AJ14">
        <f t="shared" si="19"/>
        <v>0</v>
      </c>
      <c r="AK14">
        <f t="shared" si="20"/>
        <v>0</v>
      </c>
      <c r="AL14">
        <f t="shared" si="20"/>
        <v>0</v>
      </c>
      <c r="AM14">
        <f t="shared" si="21"/>
        <v>0</v>
      </c>
      <c r="AN14" t="s">
        <v>36</v>
      </c>
      <c r="AO14">
        <f t="shared" si="22"/>
        <v>0</v>
      </c>
      <c r="AP14">
        <f t="shared" si="22"/>
        <v>0</v>
      </c>
      <c r="AQ14">
        <f t="shared" si="22"/>
        <v>0</v>
      </c>
      <c r="AR14">
        <f t="shared" si="23"/>
        <v>0</v>
      </c>
      <c r="AS14" t="s">
        <v>36</v>
      </c>
      <c r="AT14">
        <f t="shared" si="24"/>
        <v>0</v>
      </c>
      <c r="AU14">
        <f t="shared" si="24"/>
        <v>0</v>
      </c>
      <c r="AV14">
        <f t="shared" si="24"/>
        <v>0</v>
      </c>
      <c r="AW14">
        <f t="shared" si="25"/>
        <v>0</v>
      </c>
      <c r="AX14" t="s">
        <v>36</v>
      </c>
      <c r="AY14">
        <f t="shared" si="26"/>
        <v>0</v>
      </c>
      <c r="AZ14">
        <f t="shared" si="26"/>
        <v>0</v>
      </c>
      <c r="BA14">
        <f t="shared" si="26"/>
        <v>0</v>
      </c>
      <c r="BB14">
        <f t="shared" si="27"/>
        <v>0</v>
      </c>
    </row>
    <row r="15" spans="1:54" x14ac:dyDescent="0.3">
      <c r="A15" t="s">
        <v>20</v>
      </c>
      <c r="B15" s="1" t="s">
        <v>23</v>
      </c>
      <c r="C15">
        <f t="shared" si="28"/>
        <v>-16779</v>
      </c>
      <c r="E15" t="s">
        <v>35</v>
      </c>
      <c r="F15" s="1" t="s">
        <v>42</v>
      </c>
      <c r="G15" s="17">
        <f t="shared" ref="G15:I15" si="46">MOD(IF(G9=0, 1, 0)+AK15, 2)</f>
        <v>1</v>
      </c>
      <c r="H15" s="17">
        <f t="shared" si="46"/>
        <v>0</v>
      </c>
      <c r="I15" s="17">
        <f t="shared" si="46"/>
        <v>1</v>
      </c>
      <c r="J15" s="17">
        <f t="shared" si="30"/>
        <v>1</v>
      </c>
      <c r="K15" s="17" t="s">
        <v>36</v>
      </c>
      <c r="L15" s="17">
        <f t="shared" si="31"/>
        <v>1</v>
      </c>
      <c r="M15" s="17">
        <f t="shared" si="32"/>
        <v>1</v>
      </c>
      <c r="N15" s="17">
        <f t="shared" si="33"/>
        <v>1</v>
      </c>
      <c r="O15" s="17">
        <f t="shared" si="34"/>
        <v>0</v>
      </c>
      <c r="P15" s="17" t="s">
        <v>36</v>
      </c>
      <c r="Q15" s="17">
        <f t="shared" si="35"/>
        <v>0</v>
      </c>
      <c r="R15" s="17">
        <f t="shared" si="36"/>
        <v>1</v>
      </c>
      <c r="S15" s="17">
        <f t="shared" si="37"/>
        <v>1</v>
      </c>
      <c r="T15" s="17">
        <f t="shared" si="38"/>
        <v>1</v>
      </c>
      <c r="U15" s="17" t="s">
        <v>36</v>
      </c>
      <c r="V15" s="17">
        <f t="shared" si="39"/>
        <v>0</v>
      </c>
      <c r="W15" s="17">
        <f t="shared" si="40"/>
        <v>1</v>
      </c>
      <c r="X15" s="17">
        <f t="shared" si="41"/>
        <v>0</v>
      </c>
      <c r="Y15" s="17">
        <f t="shared" si="42"/>
        <v>0</v>
      </c>
      <c r="AJ15">
        <f t="shared" si="19"/>
        <v>0</v>
      </c>
      <c r="AK15">
        <f t="shared" si="20"/>
        <v>0</v>
      </c>
      <c r="AL15">
        <f t="shared" si="20"/>
        <v>0</v>
      </c>
      <c r="AM15">
        <f t="shared" si="21"/>
        <v>0</v>
      </c>
      <c r="AN15" t="s">
        <v>36</v>
      </c>
      <c r="AO15">
        <f t="shared" si="22"/>
        <v>0</v>
      </c>
      <c r="AP15">
        <f t="shared" si="22"/>
        <v>0</v>
      </c>
      <c r="AQ15">
        <f t="shared" si="22"/>
        <v>0</v>
      </c>
      <c r="AR15">
        <f t="shared" si="23"/>
        <v>0</v>
      </c>
      <c r="AS15" t="s">
        <v>36</v>
      </c>
      <c r="AT15">
        <f t="shared" si="24"/>
        <v>0</v>
      </c>
      <c r="AU15">
        <f t="shared" si="24"/>
        <v>0</v>
      </c>
      <c r="AV15">
        <f t="shared" si="24"/>
        <v>0</v>
      </c>
      <c r="AW15">
        <f t="shared" si="25"/>
        <v>0</v>
      </c>
      <c r="AX15" t="s">
        <v>36</v>
      </c>
      <c r="AY15">
        <f t="shared" si="26"/>
        <v>0</v>
      </c>
      <c r="AZ15">
        <f t="shared" si="26"/>
        <v>0</v>
      </c>
      <c r="BA15">
        <f t="shared" si="26"/>
        <v>0</v>
      </c>
      <c r="BB15">
        <f t="shared" si="27"/>
        <v>0</v>
      </c>
    </row>
    <row r="18" spans="2:54" x14ac:dyDescent="0.3">
      <c r="E18" t="s">
        <v>43</v>
      </c>
      <c r="G18">
        <f>G4</f>
        <v>0</v>
      </c>
      <c r="H18">
        <f t="shared" ref="H18:Y19" si="47">H4</f>
        <v>0</v>
      </c>
      <c r="I18">
        <f t="shared" si="47"/>
        <v>0</v>
      </c>
      <c r="J18">
        <f t="shared" si="47"/>
        <v>1</v>
      </c>
      <c r="K18" t="str">
        <f t="shared" si="47"/>
        <v>.</v>
      </c>
      <c r="L18">
        <f t="shared" si="47"/>
        <v>1</v>
      </c>
      <c r="M18">
        <f t="shared" si="47"/>
        <v>0</v>
      </c>
      <c r="N18">
        <f t="shared" si="47"/>
        <v>0</v>
      </c>
      <c r="O18">
        <f t="shared" si="47"/>
        <v>0</v>
      </c>
      <c r="P18" t="str">
        <f t="shared" si="47"/>
        <v>.</v>
      </c>
      <c r="Q18">
        <f t="shared" si="47"/>
        <v>1</v>
      </c>
      <c r="R18">
        <f t="shared" si="47"/>
        <v>0</v>
      </c>
      <c r="S18">
        <f t="shared" si="47"/>
        <v>1</v>
      </c>
      <c r="T18">
        <f t="shared" si="47"/>
        <v>0</v>
      </c>
      <c r="U18" t="str">
        <f t="shared" si="47"/>
        <v>.</v>
      </c>
      <c r="V18">
        <f t="shared" si="47"/>
        <v>0</v>
      </c>
      <c r="W18">
        <f t="shared" si="47"/>
        <v>0</v>
      </c>
      <c r="X18">
        <f t="shared" si="47"/>
        <v>0</v>
      </c>
      <c r="Y18">
        <f t="shared" si="47"/>
        <v>1</v>
      </c>
      <c r="AD18" s="8"/>
      <c r="AE18" t="s">
        <v>54</v>
      </c>
      <c r="AG18">
        <f>C4</f>
        <v>6305</v>
      </c>
      <c r="AH18" s="11"/>
      <c r="AI18" s="4" t="str">
        <f>IF(G18=G19, IF(G18=0, "При сложении двух положительных", "При сложении двух отрицательных"), "При сложении положительного и отрицательного")</f>
        <v>При сложении двух положительных</v>
      </c>
    </row>
    <row r="19" spans="2:54" x14ac:dyDescent="0.3">
      <c r="D19" s="1" t="s">
        <v>44</v>
      </c>
      <c r="E19" s="1" t="s">
        <v>45</v>
      </c>
      <c r="G19">
        <f>G5</f>
        <v>0</v>
      </c>
      <c r="H19">
        <f t="shared" si="47"/>
        <v>1</v>
      </c>
      <c r="I19">
        <f t="shared" si="47"/>
        <v>0</v>
      </c>
      <c r="J19">
        <f t="shared" si="47"/>
        <v>1</v>
      </c>
      <c r="K19" t="str">
        <f t="shared" si="47"/>
        <v>.</v>
      </c>
      <c r="L19">
        <f t="shared" si="47"/>
        <v>0</v>
      </c>
      <c r="M19">
        <f t="shared" si="47"/>
        <v>0</v>
      </c>
      <c r="N19">
        <f t="shared" si="47"/>
        <v>1</v>
      </c>
      <c r="O19">
        <f t="shared" si="47"/>
        <v>0</v>
      </c>
      <c r="P19" t="str">
        <f t="shared" si="47"/>
        <v>.</v>
      </c>
      <c r="Q19">
        <f t="shared" si="47"/>
        <v>1</v>
      </c>
      <c r="R19">
        <f t="shared" si="47"/>
        <v>1</v>
      </c>
      <c r="S19">
        <f t="shared" si="47"/>
        <v>1</v>
      </c>
      <c r="T19">
        <f t="shared" si="47"/>
        <v>0</v>
      </c>
      <c r="U19" t="str">
        <f t="shared" si="47"/>
        <v>.</v>
      </c>
      <c r="V19">
        <f t="shared" si="47"/>
        <v>1</v>
      </c>
      <c r="W19">
        <f t="shared" si="47"/>
        <v>0</v>
      </c>
      <c r="X19">
        <f t="shared" si="47"/>
        <v>1</v>
      </c>
      <c r="Y19">
        <f t="shared" si="47"/>
        <v>0</v>
      </c>
      <c r="AD19" s="9" t="s">
        <v>44</v>
      </c>
      <c r="AE19" t="s">
        <v>55</v>
      </c>
      <c r="AG19">
        <f>C5</f>
        <v>21226</v>
      </c>
      <c r="AH19" s="11"/>
      <c r="AI19" s="4" t="str">
        <f>IF(G21=0,"чисел получилось положительное число.", "чисел получилось отрицательное число")</f>
        <v>чисел получилось положительное число.</v>
      </c>
    </row>
    <row r="20" spans="2:54" x14ac:dyDescent="0.3">
      <c r="E20" s="1" t="s">
        <v>48</v>
      </c>
      <c r="F20" s="1" t="s">
        <v>47</v>
      </c>
      <c r="G20" s="1" t="s">
        <v>46</v>
      </c>
      <c r="H20" s="1" t="s">
        <v>46</v>
      </c>
      <c r="I20" s="1" t="s">
        <v>46</v>
      </c>
      <c r="J20" s="1" t="s">
        <v>46</v>
      </c>
      <c r="K20" s="1" t="s">
        <v>46</v>
      </c>
      <c r="L20" s="1" t="s">
        <v>46</v>
      </c>
      <c r="M20" s="1" t="s">
        <v>46</v>
      </c>
      <c r="N20" s="1" t="s">
        <v>46</v>
      </c>
      <c r="O20" s="1" t="s">
        <v>46</v>
      </c>
      <c r="P20" s="1" t="s">
        <v>46</v>
      </c>
      <c r="Q20" s="1" t="s">
        <v>46</v>
      </c>
      <c r="R20" s="1" t="s">
        <v>46</v>
      </c>
      <c r="S20" s="1" t="s">
        <v>46</v>
      </c>
      <c r="T20" s="1" t="s">
        <v>46</v>
      </c>
      <c r="U20" s="1" t="s">
        <v>46</v>
      </c>
      <c r="V20" s="1" t="s">
        <v>46</v>
      </c>
      <c r="W20" s="1" t="s">
        <v>46</v>
      </c>
      <c r="X20" s="1" t="s">
        <v>46</v>
      </c>
      <c r="Y20" s="1" t="s">
        <v>46</v>
      </c>
      <c r="Z20" s="1"/>
      <c r="AA20" s="1"/>
      <c r="AB20" s="1"/>
      <c r="AC20" s="1"/>
      <c r="AD20" s="8"/>
      <c r="AE20" s="1" t="s">
        <v>57</v>
      </c>
      <c r="AF20" s="1" t="s">
        <v>57</v>
      </c>
      <c r="AG20" s="1" t="s">
        <v>56</v>
      </c>
      <c r="AH20" s="12"/>
      <c r="AI20" s="5" t="str">
        <f>IF(AB21=AG21, "Результат верный и совпадает с", "Результат НЕ верный и НЕ совпадает с")</f>
        <v>Результат верный и совпадает с</v>
      </c>
      <c r="AJ20">
        <f>QUOTIENT(G18+G19+AK20, 2)</f>
        <v>0</v>
      </c>
      <c r="AK20">
        <f>QUOTIENT(H18+H19+AL20, 2)</f>
        <v>0</v>
      </c>
      <c r="AL20">
        <f>QUOTIENT(I18+I19+AM20, 2)</f>
        <v>0</v>
      </c>
      <c r="AM20">
        <f>QUOTIENT(J18+J19+AO20, 2)</f>
        <v>1</v>
      </c>
      <c r="AN20" t="s">
        <v>36</v>
      </c>
      <c r="AO20">
        <f>QUOTIENT(L18+L19+AP20, 2)</f>
        <v>0</v>
      </c>
      <c r="AP20">
        <f>QUOTIENT(M18+M19+AQ20, 2)</f>
        <v>0</v>
      </c>
      <c r="AQ20">
        <f>QUOTIENT(N18+N19+AR20, 2)</f>
        <v>0</v>
      </c>
      <c r="AR20">
        <f>QUOTIENT(O18+O19+AT20, 2)</f>
        <v>0</v>
      </c>
      <c r="AS20" t="s">
        <v>36</v>
      </c>
      <c r="AT20">
        <f>QUOTIENT(Q18+Q19+AU20, 2)</f>
        <v>1</v>
      </c>
      <c r="AU20">
        <f>QUOTIENT(R18+R19+AV20, 2)</f>
        <v>1</v>
      </c>
      <c r="AV20">
        <f>QUOTIENT(S18+S19+AW20, 2)</f>
        <v>1</v>
      </c>
      <c r="AW20">
        <f>QUOTIENT(T18+T19+AY20, 2)</f>
        <v>0</v>
      </c>
      <c r="AX20" t="s">
        <v>36</v>
      </c>
      <c r="AY20">
        <f>QUOTIENT(V18+V19+AZ20, 2)</f>
        <v>0</v>
      </c>
      <c r="AZ20">
        <f>QUOTIENT(W18+W19+BA20, 2)</f>
        <v>0</v>
      </c>
      <c r="BA20">
        <f>QUOTIENT(X18+X19+BB20, 2)</f>
        <v>0</v>
      </c>
      <c r="BB20">
        <f>QUOTIENT(Y18+Y19, 2)</f>
        <v>0</v>
      </c>
    </row>
    <row r="21" spans="2:54" x14ac:dyDescent="0.3">
      <c r="E21" t="str">
        <f>IF(G21=1, "(доп. код)", "")</f>
        <v/>
      </c>
      <c r="G21">
        <f>MOD(G18+G19+AK20, 2)</f>
        <v>0</v>
      </c>
      <c r="H21">
        <f>MOD(H18+H19+AL20, 2)</f>
        <v>1</v>
      </c>
      <c r="I21">
        <f>MOD(I18+I19+AM20, 2)</f>
        <v>1</v>
      </c>
      <c r="J21">
        <f>MOD(J18+J19+AO20, 2)</f>
        <v>0</v>
      </c>
      <c r="K21" t="s">
        <v>36</v>
      </c>
      <c r="L21">
        <f>MOD(L18+L19+AP20, 2)</f>
        <v>1</v>
      </c>
      <c r="M21">
        <f>MOD(M18+M19+AQ20, 2)</f>
        <v>0</v>
      </c>
      <c r="N21">
        <f>MOD(N18+N19+AR20, 2)</f>
        <v>1</v>
      </c>
      <c r="O21">
        <f>MOD(O18+O19+AT20, 2)</f>
        <v>1</v>
      </c>
      <c r="P21" t="s">
        <v>36</v>
      </c>
      <c r="Q21">
        <f>MOD(Q18+Q19+AU20, 2)</f>
        <v>1</v>
      </c>
      <c r="R21">
        <f>MOD(R18+R19+AV20, 2)</f>
        <v>0</v>
      </c>
      <c r="S21">
        <f>MOD(S18+S19+AW20, 2)</f>
        <v>0</v>
      </c>
      <c r="T21">
        <f>MOD(T18+T19+AY20, 2)</f>
        <v>0</v>
      </c>
      <c r="U21" t="s">
        <v>36</v>
      </c>
      <c r="V21">
        <f>MOD(V18+V19+AZ20, 2)</f>
        <v>1</v>
      </c>
      <c r="W21">
        <f>MOD(W18+W19+BA20, 2)</f>
        <v>0</v>
      </c>
      <c r="X21">
        <f>MOD(X18+X19+BB20, 2)</f>
        <v>1</v>
      </c>
      <c r="Y21">
        <f>MOD(Y18+Y19, 2)</f>
        <v>1</v>
      </c>
      <c r="Z21" s="2" t="s">
        <v>49</v>
      </c>
      <c r="AA21" s="1" t="s">
        <v>50</v>
      </c>
      <c r="AB21" s="1">
        <f>SUM(AK21:BB21)*AJ21</f>
        <v>27531</v>
      </c>
      <c r="AC21" s="2" t="s">
        <v>51</v>
      </c>
      <c r="AD21" s="10" t="str">
        <f>IF(AB21=AG21, "=", "!=")</f>
        <v>=</v>
      </c>
      <c r="AE21" s="2"/>
      <c r="AF21" s="2"/>
      <c r="AG21" s="3">
        <f>AG18+AG19</f>
        <v>27531</v>
      </c>
      <c r="AH21" s="13" t="s">
        <v>51</v>
      </c>
      <c r="AI21" s="6" t="s">
        <v>62</v>
      </c>
      <c r="AJ21">
        <f>IF(G21=0, 1, -1)</f>
        <v>1</v>
      </c>
      <c r="AK21">
        <f>H21*16384</f>
        <v>16384</v>
      </c>
      <c r="AL21">
        <f>I21*8192</f>
        <v>8192</v>
      </c>
      <c r="AM21">
        <f>J21*4096</f>
        <v>0</v>
      </c>
      <c r="AO21">
        <f>L21*2048</f>
        <v>2048</v>
      </c>
      <c r="AP21">
        <f>M21*1024</f>
        <v>0</v>
      </c>
      <c r="AQ21">
        <f>N21*512</f>
        <v>512</v>
      </c>
      <c r="AR21">
        <f>O21*256</f>
        <v>256</v>
      </c>
      <c r="AT21">
        <f>Q21*128</f>
        <v>128</v>
      </c>
      <c r="AU21">
        <f>R21*64</f>
        <v>0</v>
      </c>
      <c r="AV21">
        <f>S21*32</f>
        <v>0</v>
      </c>
      <c r="AW21">
        <f>T21*16</f>
        <v>0</v>
      </c>
      <c r="AY21">
        <f>V21*8</f>
        <v>8</v>
      </c>
      <c r="AZ21">
        <f>W21*4</f>
        <v>0</v>
      </c>
      <c r="BA21">
        <f>X21*2</f>
        <v>2</v>
      </c>
      <c r="BB21">
        <f>Y21</f>
        <v>1</v>
      </c>
    </row>
    <row r="22" spans="2:54" x14ac:dyDescent="0.3">
      <c r="AH22" s="11"/>
      <c r="AI22" s="4" t="s">
        <v>63</v>
      </c>
    </row>
    <row r="23" spans="2:54" hidden="1" x14ac:dyDescent="0.3">
      <c r="G23">
        <v>1</v>
      </c>
      <c r="H23">
        <v>1</v>
      </c>
      <c r="I23">
        <v>1</v>
      </c>
      <c r="J23">
        <v>1</v>
      </c>
      <c r="K23" t="s">
        <v>36</v>
      </c>
      <c r="L23">
        <v>1</v>
      </c>
      <c r="M23">
        <v>1</v>
      </c>
      <c r="N23">
        <v>1</v>
      </c>
      <c r="O23">
        <v>1</v>
      </c>
      <c r="P23" t="s">
        <v>36</v>
      </c>
      <c r="Q23">
        <v>1</v>
      </c>
      <c r="R23">
        <v>1</v>
      </c>
      <c r="S23">
        <v>1</v>
      </c>
      <c r="T23">
        <v>1</v>
      </c>
      <c r="U23" t="s">
        <v>36</v>
      </c>
      <c r="V23">
        <v>1</v>
      </c>
      <c r="W23">
        <v>1</v>
      </c>
      <c r="X23">
        <v>1</v>
      </c>
      <c r="Y23">
        <v>1</v>
      </c>
      <c r="AI23" s="4"/>
      <c r="AJ23">
        <f>QUOTIENT(G21+G23+AK23, 2)</f>
        <v>1</v>
      </c>
      <c r="AK23">
        <f>QUOTIENT(H21+H23+AL23, 2)</f>
        <v>1</v>
      </c>
      <c r="AL23">
        <f>QUOTIENT(I21+I23+AM23, 2)</f>
        <v>1</v>
      </c>
      <c r="AM23">
        <f>QUOTIENT(J21+J23+AO23, 2)</f>
        <v>1</v>
      </c>
      <c r="AN23" t="s">
        <v>36</v>
      </c>
      <c r="AO23">
        <f>QUOTIENT(L21+L23+AP23, 2)</f>
        <v>1</v>
      </c>
      <c r="AP23">
        <f>QUOTIENT(M21+M23+AQ23, 2)</f>
        <v>1</v>
      </c>
      <c r="AQ23">
        <f>QUOTIENT(N21+N23+AR23, 2)</f>
        <v>1</v>
      </c>
      <c r="AR23">
        <f>QUOTIENT(O21+O23+AT23, 2)</f>
        <v>1</v>
      </c>
      <c r="AS23" t="s">
        <v>36</v>
      </c>
      <c r="AT23">
        <f>QUOTIENT(Q21+Q23+AU23, 2)</f>
        <v>1</v>
      </c>
      <c r="AU23">
        <f>QUOTIENT(R21+R23+AV23, 2)</f>
        <v>1</v>
      </c>
      <c r="AV23">
        <f>QUOTIENT(S21+S23+AW23, 2)</f>
        <v>1</v>
      </c>
      <c r="AW23">
        <f>QUOTIENT(T21+T23+AY23, 2)</f>
        <v>1</v>
      </c>
      <c r="AX23" t="s">
        <v>36</v>
      </c>
      <c r="AY23">
        <f>QUOTIENT(V21+V23+AZ23, 2)</f>
        <v>1</v>
      </c>
      <c r="AZ23">
        <f>QUOTIENT(W21+W23+BA23, 2)</f>
        <v>1</v>
      </c>
      <c r="BA23">
        <f>QUOTIENT(X21+X23+BB23, 2)</f>
        <v>1</v>
      </c>
      <c r="BB23">
        <f>QUOTIENT(Y21+Y23, 2)</f>
        <v>1</v>
      </c>
    </row>
    <row r="24" spans="2:54" hidden="1" x14ac:dyDescent="0.3">
      <c r="G24">
        <f t="shared" ref="G24" si="48">MOD(G21+G23+AK23, 2)</f>
        <v>0</v>
      </c>
      <c r="H24">
        <f t="shared" ref="H24" si="49">MOD(H21+H23+AL23, 2)</f>
        <v>1</v>
      </c>
      <c r="I24">
        <f t="shared" ref="I24" si="50">MOD(I21+I23+AM23, 2)</f>
        <v>1</v>
      </c>
      <c r="J24">
        <f>MOD(J21+J23+AO23, 2)</f>
        <v>0</v>
      </c>
      <c r="K24" t="s">
        <v>36</v>
      </c>
      <c r="L24">
        <f t="shared" ref="L24" si="51">MOD(L21+L23+AP23, 2)</f>
        <v>1</v>
      </c>
      <c r="M24">
        <f t="shared" ref="M24" si="52">MOD(M21+M23+AQ23, 2)</f>
        <v>0</v>
      </c>
      <c r="N24">
        <f t="shared" ref="N24" si="53">MOD(N21+N23+AR23, 2)</f>
        <v>1</v>
      </c>
      <c r="O24">
        <f>MOD(O21+O23+AT23, 2)</f>
        <v>1</v>
      </c>
      <c r="P24" t="s">
        <v>36</v>
      </c>
      <c r="Q24">
        <f t="shared" ref="Q24" si="54">MOD(Q21+Q23+AU23, 2)</f>
        <v>1</v>
      </c>
      <c r="R24">
        <f t="shared" ref="R24" si="55">MOD(R21+R23+AV23, 2)</f>
        <v>0</v>
      </c>
      <c r="S24">
        <f t="shared" ref="S24" si="56">MOD(S21+S23+AW23, 2)</f>
        <v>0</v>
      </c>
      <c r="T24">
        <f>MOD(T21+T23+AY23, 2)</f>
        <v>0</v>
      </c>
      <c r="U24" t="s">
        <v>36</v>
      </c>
      <c r="V24">
        <f t="shared" ref="V24" si="57">MOD(V21+V23+AZ23, 2)</f>
        <v>1</v>
      </c>
      <c r="W24">
        <f t="shared" ref="W24" si="58">MOD(W21+W23+BA23, 2)</f>
        <v>0</v>
      </c>
      <c r="X24">
        <f>MOD(X21+X23+BB23, 2)</f>
        <v>1</v>
      </c>
      <c r="Y24">
        <f>MOD(Y21+Y23+BC23, 2)</f>
        <v>0</v>
      </c>
      <c r="AI24" s="4"/>
    </row>
    <row r="25" spans="2:54" x14ac:dyDescent="0.3">
      <c r="B25" s="4"/>
      <c r="C25" s="4"/>
      <c r="E25" t="str">
        <f>IF(G21=1, "(прям.код)", "")</f>
        <v/>
      </c>
      <c r="G25" t="str">
        <f>IF(G21=1,G24, "")</f>
        <v/>
      </c>
      <c r="H25" t="str">
        <f>IF(G21=1, IF(H24=0, 1, 0), "")</f>
        <v/>
      </c>
      <c r="I25" t="str">
        <f>IF(G21=1, IF(I24=0, 1, 0),"")</f>
        <v/>
      </c>
      <c r="J25" t="str">
        <f>IF(G21=1, IF(J24=0, 1, 0),"")</f>
        <v/>
      </c>
      <c r="K25" t="str">
        <f>IF(G21=1, ".","")</f>
        <v/>
      </c>
      <c r="L25" t="str">
        <f>IF(G21=1, IF(L24=0, 1, 0),"")</f>
        <v/>
      </c>
      <c r="M25" t="str">
        <f>IF(G21=1, IF(M24=0, 1, 0),"")</f>
        <v/>
      </c>
      <c r="N25" t="str">
        <f>IF(G21=1, IF(N24=0, 1, 0),"")</f>
        <v/>
      </c>
      <c r="O25" t="str">
        <f>IF(G21=1, IF(O24=0, 1, 0),"")</f>
        <v/>
      </c>
      <c r="P25" t="str">
        <f>IF(G21=1, ".","")</f>
        <v/>
      </c>
      <c r="Q25" t="str">
        <f>IF(G21=1, IF(Q24=0, 1, 0), "")</f>
        <v/>
      </c>
      <c r="R25" t="str">
        <f>IF(G21=1, IF(R24=0, 1, 0), "")</f>
        <v/>
      </c>
      <c r="S25" t="str">
        <f>IF(G21=1, IF(S24=0, 1, 0), "")</f>
        <v/>
      </c>
      <c r="T25" t="str">
        <f>IF(G21=1, IF(T24=0, 1, 0),"")</f>
        <v/>
      </c>
      <c r="U25" t="str">
        <f>IF(G21=1, ".","")</f>
        <v/>
      </c>
      <c r="V25" t="str">
        <f>IF(G21=1, IF(V24=0, 1, 0),"")</f>
        <v/>
      </c>
      <c r="W25" t="str">
        <f>IF(G21=1, IF(W24=0, 1, 0),"")</f>
        <v/>
      </c>
      <c r="X25" t="str">
        <f>IF(G21=1, IF(X24=0, 1, 0),"")</f>
        <v/>
      </c>
      <c r="Y25" t="str">
        <f>IF(G21=1, IF(Y24=0, 1, 0),"")</f>
        <v/>
      </c>
      <c r="Z25" s="2" t="str">
        <f>IF(G21=1, "(2)","")</f>
        <v/>
      </c>
      <c r="AA25" s="1" t="str">
        <f>IF(G21=1, "=","")</f>
        <v/>
      </c>
      <c r="AB25" s="1" t="str">
        <f>IF(G21=1, SUM(AK25:BB25)*AJ25,"")</f>
        <v/>
      </c>
      <c r="AC25" s="2" t="str">
        <f>IF(G21=1, "(10)","")</f>
        <v/>
      </c>
      <c r="AH25" s="11"/>
      <c r="AI25" s="7" t="str">
        <f>IF(AD21="!=", "Для получения верного результата","")</f>
        <v/>
      </c>
      <c r="AJ25">
        <f>IF(G25=0, 1, -1)</f>
        <v>-1</v>
      </c>
      <c r="AK25" t="e">
        <f>H25*16384</f>
        <v>#VALUE!</v>
      </c>
      <c r="AL25" t="e">
        <f>I25*8192</f>
        <v>#VALUE!</v>
      </c>
      <c r="AM25" t="e">
        <f>J25*4096</f>
        <v>#VALUE!</v>
      </c>
      <c r="AO25" t="e">
        <f>L25*2048</f>
        <v>#VALUE!</v>
      </c>
      <c r="AP25" t="e">
        <f>M25*1024</f>
        <v>#VALUE!</v>
      </c>
      <c r="AQ25" t="e">
        <f>N25*512</f>
        <v>#VALUE!</v>
      </c>
      <c r="AR25" t="e">
        <f>O25*256</f>
        <v>#VALUE!</v>
      </c>
      <c r="AT25" t="e">
        <f>Q25*128</f>
        <v>#VALUE!</v>
      </c>
      <c r="AU25" t="e">
        <f>R25*64</f>
        <v>#VALUE!</v>
      </c>
      <c r="AV25" t="e">
        <f>S25*32</f>
        <v>#VALUE!</v>
      </c>
      <c r="AW25" t="e">
        <f>T25*16</f>
        <v>#VALUE!</v>
      </c>
      <c r="AY25" t="e">
        <f>V25*8</f>
        <v>#VALUE!</v>
      </c>
      <c r="AZ25" t="e">
        <f>W25*4</f>
        <v>#VALUE!</v>
      </c>
      <c r="BA25" t="e">
        <f>X25*2</f>
        <v>#VALUE!</v>
      </c>
      <c r="BB25" t="str">
        <f>Y25</f>
        <v/>
      </c>
    </row>
    <row r="26" spans="2:54" x14ac:dyDescent="0.3">
      <c r="AB26" s="1" t="str">
        <f>IF(AF28=1, "+/-65536","")</f>
        <v/>
      </c>
      <c r="AH26" s="11"/>
      <c r="AI26" s="7" t="str">
        <f>IF(G21=1, IF(AF28=1, "нужно перевести число в прямой код, а также", "нужно перевести число в прямой код"),"")</f>
        <v/>
      </c>
    </row>
    <row r="27" spans="2:54" x14ac:dyDescent="0.3">
      <c r="AA27" s="1" t="str">
        <f>IF(G21=1, "=","")</f>
        <v/>
      </c>
      <c r="AB27" t="str">
        <f>IF(AF28=1, IF(G21=1, AB25+AJ27, AB21+AJ27),"")</f>
        <v/>
      </c>
      <c r="AC27" s="2" t="str">
        <f>IF(AF28=1, "(10)","")</f>
        <v/>
      </c>
      <c r="AD27" s="1"/>
      <c r="AG27" s="3"/>
      <c r="AH27" s="13"/>
      <c r="AI27" s="7" t="str">
        <f>IF(AF28=1, "нужно учесть флаг OF и прибавить к/вычесть из","")</f>
        <v/>
      </c>
      <c r="AJ27">
        <f>IF(AB25&lt;0, 65536, -65536)</f>
        <v>-65536</v>
      </c>
    </row>
    <row r="28" spans="2:54" x14ac:dyDescent="0.3">
      <c r="G28" t="s">
        <v>52</v>
      </c>
      <c r="J28">
        <f>AJ20</f>
        <v>0</v>
      </c>
      <c r="L28" t="s">
        <v>53</v>
      </c>
      <c r="O28">
        <f>MOD(SUM(V21:Y21,Q21:T21, 1), 2)</f>
        <v>1</v>
      </c>
      <c r="Q28" t="s">
        <v>58</v>
      </c>
      <c r="T28">
        <f>AY20</f>
        <v>0</v>
      </c>
      <c r="V28" t="s">
        <v>59</v>
      </c>
      <c r="Y28">
        <f>IF(AB21=0, 1, 0)</f>
        <v>0</v>
      </c>
      <c r="AB28" t="s">
        <v>60</v>
      </c>
      <c r="AC28">
        <f>G21</f>
        <v>0</v>
      </c>
      <c r="AE28" t="s">
        <v>61</v>
      </c>
      <c r="AF28">
        <f>IF(AJ20=AK20, 0, 1)</f>
        <v>0</v>
      </c>
      <c r="AH28" s="11"/>
      <c r="AI28" s="7" t="str">
        <f>IF(AF28=1, "результату 65536 (2^16)","")</f>
        <v/>
      </c>
    </row>
    <row r="29" spans="2:54" x14ac:dyDescent="0.3"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</row>
    <row r="30" spans="2:54" x14ac:dyDescent="0.3">
      <c r="E30" t="s">
        <v>45</v>
      </c>
      <c r="G30">
        <f>G5</f>
        <v>0</v>
      </c>
      <c r="H30">
        <f t="shared" ref="H30:Y31" si="59">H5</f>
        <v>1</v>
      </c>
      <c r="I30">
        <f t="shared" si="59"/>
        <v>0</v>
      </c>
      <c r="J30">
        <f t="shared" si="59"/>
        <v>1</v>
      </c>
      <c r="K30" t="str">
        <f t="shared" si="59"/>
        <v>.</v>
      </c>
      <c r="L30">
        <f t="shared" si="59"/>
        <v>0</v>
      </c>
      <c r="M30">
        <f t="shared" si="59"/>
        <v>0</v>
      </c>
      <c r="N30">
        <f t="shared" si="59"/>
        <v>1</v>
      </c>
      <c r="O30">
        <f t="shared" si="59"/>
        <v>0</v>
      </c>
      <c r="P30" t="str">
        <f t="shared" si="59"/>
        <v>.</v>
      </c>
      <c r="Q30">
        <f t="shared" si="59"/>
        <v>1</v>
      </c>
      <c r="R30">
        <f t="shared" si="59"/>
        <v>1</v>
      </c>
      <c r="S30">
        <f t="shared" si="59"/>
        <v>1</v>
      </c>
      <c r="T30">
        <f t="shared" si="59"/>
        <v>0</v>
      </c>
      <c r="U30" t="str">
        <f t="shared" si="59"/>
        <v>.</v>
      </c>
      <c r="V30">
        <f t="shared" si="59"/>
        <v>1</v>
      </c>
      <c r="W30">
        <f t="shared" si="59"/>
        <v>0</v>
      </c>
      <c r="X30">
        <f t="shared" si="59"/>
        <v>1</v>
      </c>
      <c r="Y30">
        <f t="shared" si="59"/>
        <v>0</v>
      </c>
      <c r="AD30" s="8"/>
      <c r="AE30" t="s">
        <v>55</v>
      </c>
      <c r="AG30">
        <f>C5</f>
        <v>21226</v>
      </c>
      <c r="AH30" s="11"/>
      <c r="AI30" s="4" t="str">
        <f>IF(G30=G31, IF(G30=0, "При сложении двух положительных", "При сложении двух отрицательных"), "При сложении положительного и отрицательного")</f>
        <v>При сложении двух положительных</v>
      </c>
    </row>
    <row r="31" spans="2:54" x14ac:dyDescent="0.3">
      <c r="D31" s="1" t="s">
        <v>44</v>
      </c>
      <c r="E31" s="1" t="s">
        <v>64</v>
      </c>
      <c r="G31">
        <f>G6</f>
        <v>0</v>
      </c>
      <c r="H31">
        <f t="shared" si="59"/>
        <v>1</v>
      </c>
      <c r="I31">
        <f t="shared" si="59"/>
        <v>1</v>
      </c>
      <c r="J31">
        <f t="shared" si="59"/>
        <v>0</v>
      </c>
      <c r="K31" t="str">
        <f t="shared" si="59"/>
        <v>.</v>
      </c>
      <c r="L31">
        <f t="shared" si="59"/>
        <v>1</v>
      </c>
      <c r="M31">
        <f t="shared" si="59"/>
        <v>0</v>
      </c>
      <c r="N31">
        <f t="shared" si="59"/>
        <v>1</v>
      </c>
      <c r="O31">
        <f t="shared" si="59"/>
        <v>1</v>
      </c>
      <c r="P31" t="str">
        <f t="shared" si="59"/>
        <v>.</v>
      </c>
      <c r="Q31">
        <f t="shared" si="59"/>
        <v>1</v>
      </c>
      <c r="R31">
        <f t="shared" si="59"/>
        <v>0</v>
      </c>
      <c r="S31">
        <f t="shared" si="59"/>
        <v>0</v>
      </c>
      <c r="T31">
        <f t="shared" si="59"/>
        <v>0</v>
      </c>
      <c r="U31" t="str">
        <f t="shared" si="59"/>
        <v>.</v>
      </c>
      <c r="V31">
        <f t="shared" si="59"/>
        <v>1</v>
      </c>
      <c r="W31">
        <f t="shared" si="59"/>
        <v>0</v>
      </c>
      <c r="X31">
        <f t="shared" si="59"/>
        <v>1</v>
      </c>
      <c r="Y31">
        <f t="shared" si="59"/>
        <v>1</v>
      </c>
      <c r="AD31" s="9" t="s">
        <v>44</v>
      </c>
      <c r="AE31" t="s">
        <v>65</v>
      </c>
      <c r="AG31">
        <f>C6</f>
        <v>27531</v>
      </c>
      <c r="AH31" s="11"/>
      <c r="AI31" s="4" t="str">
        <f>IF(G33=0,"чисел получилось положительное число.", "чисел получилось отрицательное число")</f>
        <v>чисел получилось отрицательное число</v>
      </c>
    </row>
    <row r="32" spans="2:54" x14ac:dyDescent="0.3">
      <c r="E32" s="1" t="s">
        <v>48</v>
      </c>
      <c r="F32" s="1" t="s">
        <v>47</v>
      </c>
      <c r="G32" s="1" t="s">
        <v>46</v>
      </c>
      <c r="H32" s="1" t="s">
        <v>46</v>
      </c>
      <c r="I32" s="1" t="s">
        <v>46</v>
      </c>
      <c r="J32" s="1" t="s">
        <v>46</v>
      </c>
      <c r="K32" s="1" t="s">
        <v>46</v>
      </c>
      <c r="L32" s="1" t="s">
        <v>46</v>
      </c>
      <c r="M32" s="1" t="s">
        <v>46</v>
      </c>
      <c r="N32" s="1" t="s">
        <v>46</v>
      </c>
      <c r="O32" s="1" t="s">
        <v>46</v>
      </c>
      <c r="P32" s="1" t="s">
        <v>46</v>
      </c>
      <c r="Q32" s="1" t="s">
        <v>46</v>
      </c>
      <c r="R32" s="1" t="s">
        <v>46</v>
      </c>
      <c r="S32" s="1" t="s">
        <v>46</v>
      </c>
      <c r="T32" s="1" t="s">
        <v>46</v>
      </c>
      <c r="U32" s="1" t="s">
        <v>46</v>
      </c>
      <c r="V32" s="1" t="s">
        <v>46</v>
      </c>
      <c r="W32" s="1" t="s">
        <v>46</v>
      </c>
      <c r="X32" s="1" t="s">
        <v>46</v>
      </c>
      <c r="Y32" s="1" t="s">
        <v>46</v>
      </c>
      <c r="Z32" s="1"/>
      <c r="AA32" s="1"/>
      <c r="AB32" s="1"/>
      <c r="AC32" s="1"/>
      <c r="AD32" s="8"/>
      <c r="AE32" s="1" t="s">
        <v>57</v>
      </c>
      <c r="AF32" s="1" t="s">
        <v>57</v>
      </c>
      <c r="AG32" s="1" t="s">
        <v>56</v>
      </c>
      <c r="AH32" s="12"/>
      <c r="AI32" s="5" t="str">
        <f>IF(AB33=AG33, "Результат верный и совпадает с", "Результат НЕ верный и НЕ совпадает с")</f>
        <v>Результат НЕ верный и НЕ совпадает с</v>
      </c>
      <c r="AJ32">
        <f>QUOTIENT(G30+G31+AK32, 2)</f>
        <v>0</v>
      </c>
      <c r="AK32">
        <f>QUOTIENT(H30+H31+AL32, 2)</f>
        <v>1</v>
      </c>
      <c r="AL32">
        <f>QUOTIENT(I30+I31+AM32, 2)</f>
        <v>0</v>
      </c>
      <c r="AM32">
        <f>QUOTIENT(J30+J31+AO32, 2)</f>
        <v>0</v>
      </c>
      <c r="AN32" t="s">
        <v>36</v>
      </c>
      <c r="AO32">
        <f>QUOTIENT(L30+L31+AP32, 2)</f>
        <v>0</v>
      </c>
      <c r="AP32">
        <f>QUOTIENT(M30+M31+AQ32, 2)</f>
        <v>0</v>
      </c>
      <c r="AQ32">
        <f>QUOTIENT(N30+N31+AR32, 2)</f>
        <v>1</v>
      </c>
      <c r="AR32">
        <f>QUOTIENT(O30+O31+AT32, 2)</f>
        <v>1</v>
      </c>
      <c r="AS32" t="s">
        <v>36</v>
      </c>
      <c r="AT32">
        <f>QUOTIENT(Q30+Q31+AU32, 2)</f>
        <v>1</v>
      </c>
      <c r="AU32">
        <f>QUOTIENT(R30+R31+AV32, 2)</f>
        <v>0</v>
      </c>
      <c r="AV32">
        <f>QUOTIENT(S30+S31+AW32, 2)</f>
        <v>0</v>
      </c>
      <c r="AW32">
        <f>QUOTIENT(T30+T31+AY32, 2)</f>
        <v>0</v>
      </c>
      <c r="AX32" t="s">
        <v>36</v>
      </c>
      <c r="AY32">
        <f>QUOTIENT(V30+V31+AZ32, 2)</f>
        <v>1</v>
      </c>
      <c r="AZ32">
        <f>QUOTIENT(W30+W31+BA32, 2)</f>
        <v>0</v>
      </c>
      <c r="BA32">
        <f>QUOTIENT(X30+X31+BB32, 2)</f>
        <v>1</v>
      </c>
      <c r="BB32">
        <f>QUOTIENT(Y30+Y31, 2)</f>
        <v>0</v>
      </c>
    </row>
    <row r="33" spans="4:54" x14ac:dyDescent="0.3">
      <c r="E33" t="str">
        <f>IF(G33=1, "(доп. код)", "")</f>
        <v>(доп. код)</v>
      </c>
      <c r="G33">
        <f>MOD(G30+G31+AK32, 2)</f>
        <v>1</v>
      </c>
      <c r="H33">
        <f>MOD(H30+H31+AL32, 2)</f>
        <v>0</v>
      </c>
      <c r="I33">
        <f>MOD(I30+I31+AM32, 2)</f>
        <v>1</v>
      </c>
      <c r="J33">
        <f>MOD(J30+J31+AO32, 2)</f>
        <v>1</v>
      </c>
      <c r="K33" t="s">
        <v>36</v>
      </c>
      <c r="L33">
        <f>MOD(L30+L31+AP32, 2)</f>
        <v>1</v>
      </c>
      <c r="M33">
        <f>MOD(M30+M31+AQ32, 2)</f>
        <v>1</v>
      </c>
      <c r="N33">
        <f>MOD(N30+N31+AR32, 2)</f>
        <v>1</v>
      </c>
      <c r="O33">
        <f>MOD(O30+O31+AT32, 2)</f>
        <v>0</v>
      </c>
      <c r="P33" t="s">
        <v>36</v>
      </c>
      <c r="Q33">
        <f>MOD(Q30+Q31+AU32, 2)</f>
        <v>0</v>
      </c>
      <c r="R33">
        <f>MOD(R30+R31+AV32, 2)</f>
        <v>1</v>
      </c>
      <c r="S33">
        <f>MOD(S30+S31+AW32, 2)</f>
        <v>1</v>
      </c>
      <c r="T33">
        <f>MOD(T30+T31+AY32, 2)</f>
        <v>1</v>
      </c>
      <c r="U33" t="s">
        <v>36</v>
      </c>
      <c r="V33">
        <f>MOD(V30+V31+AZ32, 2)</f>
        <v>0</v>
      </c>
      <c r="W33">
        <f>MOD(W30+W31+BA32, 2)</f>
        <v>1</v>
      </c>
      <c r="X33">
        <f>MOD(X30+X31+BB32, 2)</f>
        <v>0</v>
      </c>
      <c r="Y33">
        <f>MOD(Y30+Y31, 2)</f>
        <v>1</v>
      </c>
      <c r="Z33" s="2" t="s">
        <v>49</v>
      </c>
      <c r="AA33" s="1" t="s">
        <v>50</v>
      </c>
      <c r="AB33" s="1">
        <f>SUM(AK33:BB33)*AJ33</f>
        <v>-15989</v>
      </c>
      <c r="AC33" s="2" t="s">
        <v>51</v>
      </c>
      <c r="AD33" s="10" t="str">
        <f>IF(AB33=AG33, "=", "!=")</f>
        <v>!=</v>
      </c>
      <c r="AE33" s="2"/>
      <c r="AF33" s="2"/>
      <c r="AG33" s="3">
        <f>AG30+AG31</f>
        <v>48757</v>
      </c>
      <c r="AH33" s="13" t="s">
        <v>51</v>
      </c>
      <c r="AI33" s="6" t="s">
        <v>62</v>
      </c>
      <c r="AJ33">
        <f>IF(G33=0, 1, -1)</f>
        <v>-1</v>
      </c>
      <c r="AK33">
        <f>H33*16384</f>
        <v>0</v>
      </c>
      <c r="AL33">
        <f>I33*8192</f>
        <v>8192</v>
      </c>
      <c r="AM33">
        <f>J33*4096</f>
        <v>4096</v>
      </c>
      <c r="AO33">
        <f>L33*2048</f>
        <v>2048</v>
      </c>
      <c r="AP33">
        <f>M33*1024</f>
        <v>1024</v>
      </c>
      <c r="AQ33">
        <f>N33*512</f>
        <v>512</v>
      </c>
      <c r="AR33">
        <f>O33*256</f>
        <v>0</v>
      </c>
      <c r="AT33">
        <f>Q33*128</f>
        <v>0</v>
      </c>
      <c r="AU33">
        <f>R33*64</f>
        <v>64</v>
      </c>
      <c r="AV33">
        <f>S33*32</f>
        <v>32</v>
      </c>
      <c r="AW33">
        <f>T33*16</f>
        <v>16</v>
      </c>
      <c r="AY33">
        <f>V33*8</f>
        <v>0</v>
      </c>
      <c r="AZ33">
        <f>W33*4</f>
        <v>4</v>
      </c>
      <c r="BA33">
        <f>X33*2</f>
        <v>0</v>
      </c>
      <c r="BB33">
        <f>Y33</f>
        <v>1</v>
      </c>
    </row>
    <row r="34" spans="4:54" x14ac:dyDescent="0.3">
      <c r="AH34" s="11"/>
      <c r="AI34" s="4" t="s">
        <v>63</v>
      </c>
    </row>
    <row r="35" spans="4:54" hidden="1" x14ac:dyDescent="0.3">
      <c r="G35">
        <v>1</v>
      </c>
      <c r="H35">
        <v>1</v>
      </c>
      <c r="I35">
        <v>1</v>
      </c>
      <c r="J35">
        <v>1</v>
      </c>
      <c r="K35" t="s">
        <v>36</v>
      </c>
      <c r="L35">
        <v>1</v>
      </c>
      <c r="M35">
        <v>1</v>
      </c>
      <c r="N35">
        <v>1</v>
      </c>
      <c r="O35">
        <v>1</v>
      </c>
      <c r="P35" t="s">
        <v>36</v>
      </c>
      <c r="Q35">
        <v>1</v>
      </c>
      <c r="R35">
        <v>1</v>
      </c>
      <c r="S35">
        <v>1</v>
      </c>
      <c r="T35">
        <v>1</v>
      </c>
      <c r="U35" t="s">
        <v>36</v>
      </c>
      <c r="V35">
        <v>1</v>
      </c>
      <c r="W35">
        <v>1</v>
      </c>
      <c r="X35">
        <v>1</v>
      </c>
      <c r="Y35">
        <v>1</v>
      </c>
      <c r="AI35" s="4"/>
      <c r="AJ35">
        <f>QUOTIENT(G33+G35+AK35, 2)</f>
        <v>1</v>
      </c>
      <c r="AK35">
        <f>QUOTIENT(H33+H35+AL35, 2)</f>
        <v>1</v>
      </c>
      <c r="AL35">
        <f>QUOTIENT(I33+I35+AM35, 2)</f>
        <v>1</v>
      </c>
      <c r="AM35">
        <f>QUOTIENT(J33+J35+AO35, 2)</f>
        <v>1</v>
      </c>
      <c r="AN35" t="s">
        <v>36</v>
      </c>
      <c r="AO35">
        <f>QUOTIENT(L33+L35+AP35, 2)</f>
        <v>1</v>
      </c>
      <c r="AP35">
        <f>QUOTIENT(M33+M35+AQ35, 2)</f>
        <v>1</v>
      </c>
      <c r="AQ35">
        <f>QUOTIENT(N33+N35+AR35, 2)</f>
        <v>1</v>
      </c>
      <c r="AR35">
        <f>QUOTIENT(O33+O35+AT35, 2)</f>
        <v>1</v>
      </c>
      <c r="AS35" t="s">
        <v>36</v>
      </c>
      <c r="AT35">
        <f>QUOTIENT(Q33+Q35+AU35, 2)</f>
        <v>1</v>
      </c>
      <c r="AU35">
        <f>QUOTIENT(R33+R35+AV35, 2)</f>
        <v>1</v>
      </c>
      <c r="AV35">
        <f>QUOTIENT(S33+S35+AW35, 2)</f>
        <v>1</v>
      </c>
      <c r="AW35">
        <f>QUOTIENT(T33+T35+AY35, 2)</f>
        <v>1</v>
      </c>
      <c r="AX35" t="s">
        <v>36</v>
      </c>
      <c r="AY35">
        <f>QUOTIENT(V33+V35+AZ35, 2)</f>
        <v>1</v>
      </c>
      <c r="AZ35">
        <f>QUOTIENT(W33+W35+BA35, 2)</f>
        <v>1</v>
      </c>
      <c r="BA35">
        <f>QUOTIENT(X33+X35+BB35, 2)</f>
        <v>1</v>
      </c>
      <c r="BB35">
        <f>QUOTIENT(Y33+Y35, 2)</f>
        <v>1</v>
      </c>
    </row>
    <row r="36" spans="4:54" hidden="1" x14ac:dyDescent="0.3">
      <c r="G36">
        <f t="shared" ref="G36" si="60">MOD(G33+G35+AK35, 2)</f>
        <v>1</v>
      </c>
      <c r="H36">
        <f t="shared" ref="H36" si="61">MOD(H33+H35+AL35, 2)</f>
        <v>0</v>
      </c>
      <c r="I36">
        <f t="shared" ref="I36" si="62">MOD(I33+I35+AM35, 2)</f>
        <v>1</v>
      </c>
      <c r="J36">
        <f>MOD(J33+J35+AO35, 2)</f>
        <v>1</v>
      </c>
      <c r="K36" t="s">
        <v>36</v>
      </c>
      <c r="L36">
        <f t="shared" ref="L36" si="63">MOD(L33+L35+AP35, 2)</f>
        <v>1</v>
      </c>
      <c r="M36">
        <f t="shared" ref="M36" si="64">MOD(M33+M35+AQ35, 2)</f>
        <v>1</v>
      </c>
      <c r="N36">
        <f t="shared" ref="N36" si="65">MOD(N33+N35+AR35, 2)</f>
        <v>1</v>
      </c>
      <c r="O36">
        <f>MOD(O33+O35+AT35, 2)</f>
        <v>0</v>
      </c>
      <c r="P36" t="s">
        <v>36</v>
      </c>
      <c r="Q36">
        <f t="shared" ref="Q36" si="66">MOD(Q33+Q35+AU35, 2)</f>
        <v>0</v>
      </c>
      <c r="R36">
        <f t="shared" ref="R36" si="67">MOD(R33+R35+AV35, 2)</f>
        <v>1</v>
      </c>
      <c r="S36">
        <f t="shared" ref="S36" si="68">MOD(S33+S35+AW35, 2)</f>
        <v>1</v>
      </c>
      <c r="T36">
        <f>MOD(T33+T35+AY35, 2)</f>
        <v>1</v>
      </c>
      <c r="U36" t="s">
        <v>36</v>
      </c>
      <c r="V36">
        <f t="shared" ref="V36" si="69">MOD(V33+V35+AZ35, 2)</f>
        <v>0</v>
      </c>
      <c r="W36">
        <f t="shared" ref="W36" si="70">MOD(W33+W35+BA35, 2)</f>
        <v>1</v>
      </c>
      <c r="X36">
        <f>MOD(X33+X35+BB35, 2)</f>
        <v>0</v>
      </c>
      <c r="Y36">
        <f>MOD(Y33+Y35+BC35, 2)</f>
        <v>0</v>
      </c>
      <c r="AI36" s="4"/>
    </row>
    <row r="37" spans="4:54" x14ac:dyDescent="0.3">
      <c r="E37" t="str">
        <f>IF(G33=1, "(прям.код)", "")</f>
        <v>(прям.код)</v>
      </c>
      <c r="G37">
        <f>IF(G33=1,G36, "")</f>
        <v>1</v>
      </c>
      <c r="H37">
        <f>IF(G33=1, IF(H36=0, 1, 0), "")</f>
        <v>1</v>
      </c>
      <c r="I37">
        <f>IF(G33=1, IF(I36=0, 1, 0),"")</f>
        <v>0</v>
      </c>
      <c r="J37">
        <f>IF(G33=1, IF(J36=0, 1, 0),"")</f>
        <v>0</v>
      </c>
      <c r="K37" t="str">
        <f>IF(G33=1, ".","")</f>
        <v>.</v>
      </c>
      <c r="L37">
        <f>IF(G33=1, IF(L36=0, 1, 0),"")</f>
        <v>0</v>
      </c>
      <c r="M37">
        <f>IF(G33=1, IF(M36=0, 1, 0),"")</f>
        <v>0</v>
      </c>
      <c r="N37">
        <f>IF(G33=1, IF(N36=0, 1, 0),"")</f>
        <v>0</v>
      </c>
      <c r="O37">
        <f>IF(G33=1, IF(O36=0, 1, 0),"")</f>
        <v>1</v>
      </c>
      <c r="P37" t="str">
        <f>IF(G33=1, ".","")</f>
        <v>.</v>
      </c>
      <c r="Q37">
        <f>IF(G33=1, IF(Q36=0, 1, 0), "")</f>
        <v>1</v>
      </c>
      <c r="R37">
        <f>IF(G33=1, IF(R36=0, 1, 0), "")</f>
        <v>0</v>
      </c>
      <c r="S37">
        <f>IF(G33=1, IF(S36=0, 1, 0), "")</f>
        <v>0</v>
      </c>
      <c r="T37">
        <f>IF(G33=1, IF(T36=0, 1, 0),"")</f>
        <v>0</v>
      </c>
      <c r="U37" t="str">
        <f>IF(G33=1, ".","")</f>
        <v>.</v>
      </c>
      <c r="V37">
        <f>IF(G33=1, IF(V36=0, 1, 0),"")</f>
        <v>1</v>
      </c>
      <c r="W37">
        <f>IF(G33=1, IF(W36=0, 1, 0),"")</f>
        <v>0</v>
      </c>
      <c r="X37">
        <f>IF(G33=1, IF(X36=0, 1, 0),"")</f>
        <v>1</v>
      </c>
      <c r="Y37">
        <f>IF(G33=1, IF(Y36=0, 1, 0),"")</f>
        <v>1</v>
      </c>
      <c r="Z37" s="2" t="str">
        <f>IF(G33=1, "(2)","")</f>
        <v>(2)</v>
      </c>
      <c r="AA37" s="1" t="str">
        <f>IF(G33=1, "=","")</f>
        <v>=</v>
      </c>
      <c r="AB37" s="1">
        <f>IF(G33=1, SUM(AK37:BB37)*AJ37,"")</f>
        <v>-16779</v>
      </c>
      <c r="AC37" s="2" t="str">
        <f>IF(G33=1, "(10)","")</f>
        <v>(10)</v>
      </c>
      <c r="AH37" s="11"/>
      <c r="AI37" s="7" t="str">
        <f>IF(AD33="!=", "Для получения верного результата","")</f>
        <v>Для получения верного результата</v>
      </c>
      <c r="AJ37">
        <f>IF(G37=0, 1, -1)</f>
        <v>-1</v>
      </c>
      <c r="AK37">
        <f>H37*16384</f>
        <v>16384</v>
      </c>
      <c r="AL37">
        <f>I37*8192</f>
        <v>0</v>
      </c>
      <c r="AM37">
        <f>J37*4096</f>
        <v>0</v>
      </c>
      <c r="AO37">
        <f>L37*2048</f>
        <v>0</v>
      </c>
      <c r="AP37">
        <f>M37*1024</f>
        <v>0</v>
      </c>
      <c r="AQ37">
        <f>N37*512</f>
        <v>0</v>
      </c>
      <c r="AR37">
        <f>O37*256</f>
        <v>256</v>
      </c>
      <c r="AT37">
        <f>Q37*128</f>
        <v>128</v>
      </c>
      <c r="AU37">
        <f>R37*64</f>
        <v>0</v>
      </c>
      <c r="AV37">
        <f>S37*32</f>
        <v>0</v>
      </c>
      <c r="AW37">
        <f>T37*16</f>
        <v>0</v>
      </c>
      <c r="AY37">
        <f>V37*8</f>
        <v>8</v>
      </c>
      <c r="AZ37">
        <f>W37*4</f>
        <v>0</v>
      </c>
      <c r="BA37">
        <f>X37*2</f>
        <v>2</v>
      </c>
      <c r="BB37">
        <f>Y37</f>
        <v>1</v>
      </c>
    </row>
    <row r="38" spans="4:54" x14ac:dyDescent="0.3">
      <c r="AB38" s="1" t="str">
        <f>IF(AF40=1, "+/-65536","")</f>
        <v>+/-65536</v>
      </c>
      <c r="AH38" s="11"/>
      <c r="AI38" s="7" t="str">
        <f>IF(G33=1, IF(AF40=1, "нужно перевести число в прямой код, а также", "нужно перевести число в прямой код"),"")</f>
        <v>нужно перевести число в прямой код, а также</v>
      </c>
    </row>
    <row r="39" spans="4:54" x14ac:dyDescent="0.3">
      <c r="AA39" s="1" t="str">
        <f>IF(G33=1, "=","")</f>
        <v>=</v>
      </c>
      <c r="AB39">
        <f>IF(AF40=1, IF(G33=1, AB37+AJ39, AB33+AJ39),"")</f>
        <v>48757</v>
      </c>
      <c r="AC39" s="2" t="str">
        <f>IF(AF40=1, "(10)","")</f>
        <v>(10)</v>
      </c>
      <c r="AD39" s="1"/>
      <c r="AG39" s="3"/>
      <c r="AH39" s="13"/>
      <c r="AI39" s="7" t="str">
        <f>IF(AF40=1, "нужно учесть флаг OF и прибавить к/вычесть из","")</f>
        <v>нужно учесть флаг OF и прибавить к/вычесть из</v>
      </c>
      <c r="AJ39">
        <f>IF(AB37&lt;0, 65536, -65536)</f>
        <v>65536</v>
      </c>
    </row>
    <row r="40" spans="4:54" x14ac:dyDescent="0.3">
      <c r="G40" t="s">
        <v>52</v>
      </c>
      <c r="J40">
        <f>AJ32</f>
        <v>0</v>
      </c>
      <c r="L40" t="s">
        <v>53</v>
      </c>
      <c r="O40">
        <f>MOD(SUM(V33:Y33,Q33:T33, 1), 2)</f>
        <v>0</v>
      </c>
      <c r="Q40" t="s">
        <v>58</v>
      </c>
      <c r="T40">
        <f>AY32</f>
        <v>1</v>
      </c>
      <c r="V40" t="s">
        <v>59</v>
      </c>
      <c r="Y40">
        <f>IF(AB33=0, 1, 0)</f>
        <v>0</v>
      </c>
      <c r="AB40" t="s">
        <v>60</v>
      </c>
      <c r="AC40">
        <f>G33</f>
        <v>1</v>
      </c>
      <c r="AE40" t="s">
        <v>61</v>
      </c>
      <c r="AF40">
        <f>IF(AJ32=AK32, 0, 1)</f>
        <v>1</v>
      </c>
      <c r="AH40" s="11"/>
      <c r="AI40" s="7" t="str">
        <f>IF(AF40=1, "результату 65536 (2^16)","")</f>
        <v>результату 65536 (2^16)</v>
      </c>
    </row>
    <row r="41" spans="4:54" x14ac:dyDescent="0.3"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</row>
    <row r="42" spans="4:54" x14ac:dyDescent="0.3">
      <c r="E42" t="s">
        <v>45</v>
      </c>
      <c r="G42">
        <f>G5</f>
        <v>0</v>
      </c>
      <c r="H42">
        <f t="shared" ref="H42:Y42" si="71">H5</f>
        <v>1</v>
      </c>
      <c r="I42">
        <f t="shared" si="71"/>
        <v>0</v>
      </c>
      <c r="J42">
        <f t="shared" si="71"/>
        <v>1</v>
      </c>
      <c r="K42" t="str">
        <f t="shared" si="71"/>
        <v>.</v>
      </c>
      <c r="L42">
        <f t="shared" si="71"/>
        <v>0</v>
      </c>
      <c r="M42">
        <f t="shared" si="71"/>
        <v>0</v>
      </c>
      <c r="N42">
        <f t="shared" si="71"/>
        <v>1</v>
      </c>
      <c r="O42">
        <f t="shared" si="71"/>
        <v>0</v>
      </c>
      <c r="P42" t="str">
        <f t="shared" si="71"/>
        <v>.</v>
      </c>
      <c r="Q42">
        <f t="shared" si="71"/>
        <v>1</v>
      </c>
      <c r="R42">
        <f t="shared" si="71"/>
        <v>1</v>
      </c>
      <c r="S42">
        <f t="shared" si="71"/>
        <v>1</v>
      </c>
      <c r="T42">
        <f t="shared" si="71"/>
        <v>0</v>
      </c>
      <c r="U42" t="str">
        <f t="shared" si="71"/>
        <v>.</v>
      </c>
      <c r="V42">
        <f t="shared" si="71"/>
        <v>1</v>
      </c>
      <c r="W42">
        <f t="shared" si="71"/>
        <v>0</v>
      </c>
      <c r="X42">
        <f t="shared" si="71"/>
        <v>1</v>
      </c>
      <c r="Y42">
        <f t="shared" si="71"/>
        <v>0</v>
      </c>
      <c r="AD42" s="8"/>
      <c r="AE42" t="s">
        <v>55</v>
      </c>
      <c r="AG42">
        <f>C5</f>
        <v>21226</v>
      </c>
      <c r="AH42" s="11"/>
      <c r="AI42" s="4" t="str">
        <f>IF(G42=G43, IF(G42=0, "При сложении двух положительных", "При сложении двух отрицательных"), "При сложении положительного и отрицательного")</f>
        <v>При сложении положительного и отрицательного</v>
      </c>
    </row>
    <row r="43" spans="4:54" x14ac:dyDescent="0.3">
      <c r="D43" s="1" t="s">
        <v>44</v>
      </c>
      <c r="E43" s="1" t="s">
        <v>66</v>
      </c>
      <c r="G43">
        <f>G10</f>
        <v>1</v>
      </c>
      <c r="H43">
        <f t="shared" ref="H43:Y43" si="72">H10</f>
        <v>1</v>
      </c>
      <c r="I43">
        <f t="shared" si="72"/>
        <v>1</v>
      </c>
      <c r="J43">
        <f t="shared" si="72"/>
        <v>0</v>
      </c>
      <c r="K43" t="str">
        <f t="shared" si="72"/>
        <v>.</v>
      </c>
      <c r="L43">
        <f t="shared" si="72"/>
        <v>0</v>
      </c>
      <c r="M43">
        <f t="shared" si="72"/>
        <v>1</v>
      </c>
      <c r="N43">
        <f t="shared" si="72"/>
        <v>1</v>
      </c>
      <c r="O43">
        <f t="shared" si="72"/>
        <v>1</v>
      </c>
      <c r="P43" t="str">
        <f t="shared" si="72"/>
        <v>.</v>
      </c>
      <c r="Q43">
        <f t="shared" si="72"/>
        <v>0</v>
      </c>
      <c r="R43">
        <f t="shared" si="72"/>
        <v>1</v>
      </c>
      <c r="S43">
        <f t="shared" si="72"/>
        <v>0</v>
      </c>
      <c r="T43">
        <f t="shared" si="72"/>
        <v>1</v>
      </c>
      <c r="U43" t="str">
        <f t="shared" si="72"/>
        <v>.</v>
      </c>
      <c r="V43">
        <f t="shared" si="72"/>
        <v>1</v>
      </c>
      <c r="W43">
        <f t="shared" si="72"/>
        <v>1</v>
      </c>
      <c r="X43">
        <f t="shared" si="72"/>
        <v>1</v>
      </c>
      <c r="Y43">
        <f t="shared" si="72"/>
        <v>0</v>
      </c>
      <c r="AD43" s="9" t="s">
        <v>44</v>
      </c>
      <c r="AE43" t="s">
        <v>67</v>
      </c>
      <c r="AG43">
        <f>C10</f>
        <v>-6305</v>
      </c>
      <c r="AH43" s="11"/>
      <c r="AI43" s="4" t="str">
        <f>IF(G45=0,"чисел получилось положительное число.", "чисел получилось отрицательное число")</f>
        <v>чисел получилось положительное число.</v>
      </c>
    </row>
    <row r="44" spans="4:54" x14ac:dyDescent="0.3">
      <c r="E44" s="1" t="s">
        <v>48</v>
      </c>
      <c r="F44" s="1" t="s">
        <v>47</v>
      </c>
      <c r="G44" s="1" t="s">
        <v>46</v>
      </c>
      <c r="H44" s="1" t="s">
        <v>46</v>
      </c>
      <c r="I44" s="1" t="s">
        <v>46</v>
      </c>
      <c r="J44" s="1" t="s">
        <v>46</v>
      </c>
      <c r="K44" s="1" t="s">
        <v>46</v>
      </c>
      <c r="L44" s="1" t="s">
        <v>46</v>
      </c>
      <c r="M44" s="1" t="s">
        <v>46</v>
      </c>
      <c r="N44" s="1" t="s">
        <v>46</v>
      </c>
      <c r="O44" s="1" t="s">
        <v>46</v>
      </c>
      <c r="P44" s="1" t="s">
        <v>46</v>
      </c>
      <c r="Q44" s="1" t="s">
        <v>46</v>
      </c>
      <c r="R44" s="1" t="s">
        <v>46</v>
      </c>
      <c r="S44" s="1" t="s">
        <v>46</v>
      </c>
      <c r="T44" s="1" t="s">
        <v>46</v>
      </c>
      <c r="U44" s="1" t="s">
        <v>46</v>
      </c>
      <c r="V44" s="1" t="s">
        <v>46</v>
      </c>
      <c r="W44" s="1" t="s">
        <v>46</v>
      </c>
      <c r="X44" s="1" t="s">
        <v>46</v>
      </c>
      <c r="Y44" s="1" t="s">
        <v>46</v>
      </c>
      <c r="Z44" s="1"/>
      <c r="AA44" s="1"/>
      <c r="AB44" s="1"/>
      <c r="AC44" s="1"/>
      <c r="AD44" s="8"/>
      <c r="AE44" s="1" t="s">
        <v>57</v>
      </c>
      <c r="AF44" s="1" t="s">
        <v>57</v>
      </c>
      <c r="AG44" s="1" t="s">
        <v>56</v>
      </c>
      <c r="AH44" s="12"/>
      <c r="AI44" s="5" t="str">
        <f>IF(AB45=AG45, "Результат верный и совпадает с", "Результат НЕ верный и НЕ совпадает с")</f>
        <v>Результат НЕ верный и НЕ совпадает с</v>
      </c>
      <c r="AJ44">
        <f>QUOTIENT(G42+G43+AK44, 2)</f>
        <v>1</v>
      </c>
      <c r="AK44">
        <f>QUOTIENT(H42+H43+AL44, 2)</f>
        <v>1</v>
      </c>
      <c r="AL44">
        <f>QUOTIENT(I42+I43+AM44, 2)</f>
        <v>0</v>
      </c>
      <c r="AM44">
        <f>QUOTIENT(J42+J43+AO44, 2)</f>
        <v>0</v>
      </c>
      <c r="AN44" t="s">
        <v>36</v>
      </c>
      <c r="AO44">
        <f>QUOTIENT(L42+L43+AP44, 2)</f>
        <v>0</v>
      </c>
      <c r="AP44">
        <f>QUOTIENT(M42+M43+AQ44, 2)</f>
        <v>1</v>
      </c>
      <c r="AQ44">
        <f>QUOTIENT(N42+N43+AR44, 2)</f>
        <v>1</v>
      </c>
      <c r="AR44">
        <f>QUOTIENT(O42+O43+AT44, 2)</f>
        <v>1</v>
      </c>
      <c r="AS44" t="s">
        <v>36</v>
      </c>
      <c r="AT44">
        <f>QUOTIENT(Q42+Q43+AU44, 2)</f>
        <v>1</v>
      </c>
      <c r="AU44">
        <f>QUOTIENT(R42+R43+AV44, 2)</f>
        <v>1</v>
      </c>
      <c r="AV44">
        <f>QUOTIENT(S42+S43+AW44, 2)</f>
        <v>1</v>
      </c>
      <c r="AW44">
        <f>QUOTIENT(T42+T43+AY44, 2)</f>
        <v>1</v>
      </c>
      <c r="AX44" t="s">
        <v>36</v>
      </c>
      <c r="AY44">
        <f>QUOTIENT(V42+V43+AZ44, 2)</f>
        <v>1</v>
      </c>
      <c r="AZ44">
        <f>QUOTIENT(W42+W43+BA44, 2)</f>
        <v>1</v>
      </c>
      <c r="BA44">
        <f>QUOTIENT(X42+X43+BB44, 2)</f>
        <v>1</v>
      </c>
      <c r="BB44">
        <f>QUOTIENT(Y42+Y43, 2)</f>
        <v>0</v>
      </c>
    </row>
    <row r="45" spans="4:54" x14ac:dyDescent="0.3">
      <c r="E45" t="str">
        <f>IF(G45=1, "(доп. код)", "")</f>
        <v/>
      </c>
      <c r="G45">
        <f>MOD(G42+G43+AK44, 2)</f>
        <v>0</v>
      </c>
      <c r="H45">
        <f>MOD(H42+H43+AL44, 2)</f>
        <v>0</v>
      </c>
      <c r="I45">
        <f>MOD(I42+I43+AM44, 2)</f>
        <v>1</v>
      </c>
      <c r="J45">
        <f>MOD(J42+J43+AO44, 2)</f>
        <v>1</v>
      </c>
      <c r="K45" t="s">
        <v>36</v>
      </c>
      <c r="L45">
        <f>MOD(L42+L43+AP44, 2)</f>
        <v>1</v>
      </c>
      <c r="M45">
        <f>MOD(M42+M43+AQ44, 2)</f>
        <v>0</v>
      </c>
      <c r="N45">
        <f>MOD(N42+N43+AR44, 2)</f>
        <v>1</v>
      </c>
      <c r="O45">
        <f>MOD(O42+O43+AT44, 2)</f>
        <v>0</v>
      </c>
      <c r="P45" t="s">
        <v>36</v>
      </c>
      <c r="Q45">
        <f>MOD(Q42+Q43+AU44, 2)</f>
        <v>0</v>
      </c>
      <c r="R45">
        <f>MOD(R42+R43+AV44, 2)</f>
        <v>1</v>
      </c>
      <c r="S45">
        <f>MOD(S42+S43+AW44, 2)</f>
        <v>0</v>
      </c>
      <c r="T45">
        <f>MOD(T42+T43+AY44, 2)</f>
        <v>0</v>
      </c>
      <c r="U45" t="s">
        <v>36</v>
      </c>
      <c r="V45">
        <f>MOD(V42+V43+AZ44, 2)</f>
        <v>1</v>
      </c>
      <c r="W45">
        <f>MOD(W42+W43+BA44, 2)</f>
        <v>0</v>
      </c>
      <c r="X45">
        <f>MOD(X42+X43+BB44, 2)</f>
        <v>0</v>
      </c>
      <c r="Y45">
        <f>MOD(Y42+Y43, 2)</f>
        <v>0</v>
      </c>
      <c r="Z45" s="2" t="s">
        <v>49</v>
      </c>
      <c r="AA45" s="1" t="s">
        <v>50</v>
      </c>
      <c r="AB45" s="1">
        <f>SUM(AK45:BB45)*AJ45</f>
        <v>14920</v>
      </c>
      <c r="AC45" s="2" t="s">
        <v>51</v>
      </c>
      <c r="AD45" s="10" t="str">
        <f>IF(AB45=AG45, "=", "!=")</f>
        <v>!=</v>
      </c>
      <c r="AE45" s="2"/>
      <c r="AF45" s="2"/>
      <c r="AG45" s="3">
        <f>AG42+AG43</f>
        <v>14921</v>
      </c>
      <c r="AH45" s="13" t="s">
        <v>51</v>
      </c>
      <c r="AI45" s="6" t="s">
        <v>62</v>
      </c>
      <c r="AJ45">
        <f>IF(G45=0, 1, -1)</f>
        <v>1</v>
      </c>
      <c r="AK45">
        <f>H45*16384</f>
        <v>0</v>
      </c>
      <c r="AL45">
        <f>I45*8192</f>
        <v>8192</v>
      </c>
      <c r="AM45">
        <f>J45*4096</f>
        <v>4096</v>
      </c>
      <c r="AO45">
        <f>L45*2048</f>
        <v>2048</v>
      </c>
      <c r="AP45">
        <f>M45*1024</f>
        <v>0</v>
      </c>
      <c r="AQ45">
        <f>N45*512</f>
        <v>512</v>
      </c>
      <c r="AR45">
        <f>O45*256</f>
        <v>0</v>
      </c>
      <c r="AT45">
        <f>Q45*128</f>
        <v>0</v>
      </c>
      <c r="AU45">
        <f>R45*64</f>
        <v>64</v>
      </c>
      <c r="AV45">
        <f>S45*32</f>
        <v>0</v>
      </c>
      <c r="AW45">
        <f>T45*16</f>
        <v>0</v>
      </c>
      <c r="AY45">
        <f>V45*8</f>
        <v>8</v>
      </c>
      <c r="AZ45">
        <f>W45*4</f>
        <v>0</v>
      </c>
      <c r="BA45">
        <f>X45*2</f>
        <v>0</v>
      </c>
      <c r="BB45">
        <f>Y45</f>
        <v>0</v>
      </c>
    </row>
    <row r="46" spans="4:54" x14ac:dyDescent="0.3">
      <c r="AH46" s="11"/>
      <c r="AI46" s="4" t="s">
        <v>63</v>
      </c>
    </row>
    <row r="47" spans="4:54" hidden="1" x14ac:dyDescent="0.3">
      <c r="G47">
        <v>1</v>
      </c>
      <c r="H47">
        <v>1</v>
      </c>
      <c r="I47">
        <v>1</v>
      </c>
      <c r="J47">
        <v>1</v>
      </c>
      <c r="K47" t="s">
        <v>36</v>
      </c>
      <c r="L47">
        <v>1</v>
      </c>
      <c r="M47">
        <v>1</v>
      </c>
      <c r="N47">
        <v>1</v>
      </c>
      <c r="O47">
        <v>1</v>
      </c>
      <c r="P47" t="s">
        <v>36</v>
      </c>
      <c r="Q47">
        <v>1</v>
      </c>
      <c r="R47">
        <v>1</v>
      </c>
      <c r="S47">
        <v>1</v>
      </c>
      <c r="T47">
        <v>1</v>
      </c>
      <c r="U47" t="s">
        <v>36</v>
      </c>
      <c r="V47">
        <v>1</v>
      </c>
      <c r="W47">
        <v>1</v>
      </c>
      <c r="X47">
        <v>1</v>
      </c>
      <c r="Y47">
        <v>1</v>
      </c>
      <c r="AI47" s="4"/>
      <c r="AJ47">
        <f>QUOTIENT(G45+G47+AK47, 2)</f>
        <v>1</v>
      </c>
      <c r="AK47">
        <f>QUOTIENT(H45+H47+AL47, 2)</f>
        <v>1</v>
      </c>
      <c r="AL47">
        <f>QUOTIENT(I45+I47+AM47, 2)</f>
        <v>1</v>
      </c>
      <c r="AM47">
        <f>QUOTIENT(J45+J47+AO47, 2)</f>
        <v>1</v>
      </c>
      <c r="AN47" t="s">
        <v>36</v>
      </c>
      <c r="AO47">
        <f>QUOTIENT(L45+L47+AP47, 2)</f>
        <v>1</v>
      </c>
      <c r="AP47">
        <f>QUOTIENT(M45+M47+AQ47, 2)</f>
        <v>1</v>
      </c>
      <c r="AQ47">
        <f>QUOTIENT(N45+N47+AR47, 2)</f>
        <v>1</v>
      </c>
      <c r="AR47">
        <f>QUOTIENT(O45+O47+AT47, 2)</f>
        <v>1</v>
      </c>
      <c r="AS47" t="s">
        <v>36</v>
      </c>
      <c r="AT47">
        <f>QUOTIENT(Q45+Q47+AU47, 2)</f>
        <v>1</v>
      </c>
      <c r="AU47">
        <f>QUOTIENT(R45+R47+AV47, 2)</f>
        <v>1</v>
      </c>
      <c r="AV47">
        <f>QUOTIENT(S45+S47+AW47, 2)</f>
        <v>1</v>
      </c>
      <c r="AW47">
        <f>QUOTIENT(T45+T47+AY47, 2)</f>
        <v>1</v>
      </c>
      <c r="AX47" t="s">
        <v>36</v>
      </c>
      <c r="AY47">
        <f>QUOTIENT(V45+V47+AZ47, 2)</f>
        <v>1</v>
      </c>
      <c r="AZ47">
        <f>QUOTIENT(W45+W47+BA47, 2)</f>
        <v>0</v>
      </c>
      <c r="BA47">
        <f>QUOTIENT(X45+X47+BB47, 2)</f>
        <v>0</v>
      </c>
      <c r="BB47">
        <f>QUOTIENT(Y45+Y47, 2)</f>
        <v>0</v>
      </c>
    </row>
    <row r="48" spans="4:54" hidden="1" x14ac:dyDescent="0.3">
      <c r="G48">
        <f t="shared" ref="G48" si="73">MOD(G45+G47+AK47, 2)</f>
        <v>0</v>
      </c>
      <c r="H48">
        <f t="shared" ref="H48" si="74">MOD(H45+H47+AL47, 2)</f>
        <v>0</v>
      </c>
      <c r="I48">
        <f t="shared" ref="I48" si="75">MOD(I45+I47+AM47, 2)</f>
        <v>1</v>
      </c>
      <c r="J48">
        <f>MOD(J45+J47+AO47, 2)</f>
        <v>1</v>
      </c>
      <c r="K48" t="s">
        <v>36</v>
      </c>
      <c r="L48">
        <f t="shared" ref="L48" si="76">MOD(L45+L47+AP47, 2)</f>
        <v>1</v>
      </c>
      <c r="M48">
        <f t="shared" ref="M48" si="77">MOD(M45+M47+AQ47, 2)</f>
        <v>0</v>
      </c>
      <c r="N48">
        <f t="shared" ref="N48" si="78">MOD(N45+N47+AR47, 2)</f>
        <v>1</v>
      </c>
      <c r="O48">
        <f>MOD(O45+O47+AT47, 2)</f>
        <v>0</v>
      </c>
      <c r="P48" t="s">
        <v>36</v>
      </c>
      <c r="Q48">
        <f t="shared" ref="Q48" si="79">MOD(Q45+Q47+AU47, 2)</f>
        <v>0</v>
      </c>
      <c r="R48">
        <f t="shared" ref="R48" si="80">MOD(R45+R47+AV47, 2)</f>
        <v>1</v>
      </c>
      <c r="S48">
        <f t="shared" ref="S48" si="81">MOD(S45+S47+AW47, 2)</f>
        <v>0</v>
      </c>
      <c r="T48">
        <f>MOD(T45+T47+AY47, 2)</f>
        <v>0</v>
      </c>
      <c r="U48" t="s">
        <v>36</v>
      </c>
      <c r="V48">
        <f t="shared" ref="V48" si="82">MOD(V45+V47+AZ47, 2)</f>
        <v>0</v>
      </c>
      <c r="W48">
        <f t="shared" ref="W48" si="83">MOD(W45+W47+BA47, 2)</f>
        <v>1</v>
      </c>
      <c r="X48">
        <f>MOD(X45+X47+BB47, 2)</f>
        <v>1</v>
      </c>
      <c r="Y48">
        <f>MOD(Y45+Y47+BC47, 2)</f>
        <v>1</v>
      </c>
      <c r="AI48" s="4"/>
    </row>
    <row r="49" spans="4:54" x14ac:dyDescent="0.3">
      <c r="E49" t="str">
        <f>IF(G45=1, "(прям.код)", "")</f>
        <v/>
      </c>
      <c r="G49" t="str">
        <f>IF(G45=1,G48, "")</f>
        <v/>
      </c>
      <c r="H49" t="str">
        <f>IF(G45=1, IF(H48=0, 1, 0), "")</f>
        <v/>
      </c>
      <c r="I49" t="str">
        <f>IF(G45=1, IF(I48=0, 1, 0),"")</f>
        <v/>
      </c>
      <c r="J49" t="str">
        <f>IF(G45=1, IF(J48=0, 1, 0),"")</f>
        <v/>
      </c>
      <c r="K49" t="str">
        <f>IF(G45=1, ".","")</f>
        <v/>
      </c>
      <c r="L49" t="str">
        <f>IF(G45=1, IF(L48=0, 1, 0),"")</f>
        <v/>
      </c>
      <c r="M49" t="str">
        <f>IF(G45=1, IF(M48=0, 1, 0),"")</f>
        <v/>
      </c>
      <c r="N49" t="str">
        <f>IF(G45=1, IF(N48=0, 1, 0),"")</f>
        <v/>
      </c>
      <c r="O49" t="str">
        <f>IF(G45=1, IF(O48=0, 1, 0),"")</f>
        <v/>
      </c>
      <c r="P49" t="str">
        <f>IF(G45=1, ".","")</f>
        <v/>
      </c>
      <c r="Q49" t="str">
        <f>IF(G45=1, IF(Q48=0, 1, 0), "")</f>
        <v/>
      </c>
      <c r="R49" t="str">
        <f>IF(G45=1, IF(R48=0, 1, 0), "")</f>
        <v/>
      </c>
      <c r="S49" t="str">
        <f>IF(G45=1, IF(S48=0, 1, 0), "")</f>
        <v/>
      </c>
      <c r="T49" t="str">
        <f>IF(G45=1, IF(T48=0, 1, 0),"")</f>
        <v/>
      </c>
      <c r="U49" t="str">
        <f>IF(G45=1, ".","")</f>
        <v/>
      </c>
      <c r="V49" t="str">
        <f>IF(G45=1, IF(V48=0, 1, 0),"")</f>
        <v/>
      </c>
      <c r="W49" t="str">
        <f>IF(G45=1, IF(W48=0, 1, 0),"")</f>
        <v/>
      </c>
      <c r="X49" t="str">
        <f>IF(G45=1, IF(X48=0, 1, 0),"")</f>
        <v/>
      </c>
      <c r="Y49" t="str">
        <f>IF(G45=1, IF(Y48=0, 1, 0),"")</f>
        <v/>
      </c>
      <c r="Z49" s="2" t="str">
        <f>IF(G45=1, "(2)","")</f>
        <v/>
      </c>
      <c r="AA49" s="1" t="str">
        <f>IF(G45=1, "=","")</f>
        <v/>
      </c>
      <c r="AB49" s="1" t="str">
        <f>IF(G45=1, SUM(AK49:BB49)*AJ49,"")</f>
        <v/>
      </c>
      <c r="AC49" s="2" t="str">
        <f>IF(G45=1, "(10)","")</f>
        <v/>
      </c>
      <c r="AH49" s="11"/>
      <c r="AI49" s="7" t="str">
        <f>IF(AD45="!=", "Для получения верного результата","")</f>
        <v>Для получения верного результата</v>
      </c>
      <c r="AJ49">
        <f>IF(G49=0, 1, -1)</f>
        <v>-1</v>
      </c>
      <c r="AK49" t="e">
        <f>H49*16384</f>
        <v>#VALUE!</v>
      </c>
      <c r="AL49" t="e">
        <f>I49*8192</f>
        <v>#VALUE!</v>
      </c>
      <c r="AM49" t="e">
        <f>J49*4096</f>
        <v>#VALUE!</v>
      </c>
      <c r="AO49" t="e">
        <f>L49*2048</f>
        <v>#VALUE!</v>
      </c>
      <c r="AP49" t="e">
        <f>M49*1024</f>
        <v>#VALUE!</v>
      </c>
      <c r="AQ49" t="e">
        <f>N49*512</f>
        <v>#VALUE!</v>
      </c>
      <c r="AR49" t="e">
        <f>O49*256</f>
        <v>#VALUE!</v>
      </c>
      <c r="AT49" t="e">
        <f>Q49*128</f>
        <v>#VALUE!</v>
      </c>
      <c r="AU49" t="e">
        <f>R49*64</f>
        <v>#VALUE!</v>
      </c>
      <c r="AV49" t="e">
        <f>S49*32</f>
        <v>#VALUE!</v>
      </c>
      <c r="AW49" t="e">
        <f>T49*16</f>
        <v>#VALUE!</v>
      </c>
      <c r="AY49" t="e">
        <f>V49*8</f>
        <v>#VALUE!</v>
      </c>
      <c r="AZ49" t="e">
        <f>W49*4</f>
        <v>#VALUE!</v>
      </c>
      <c r="BA49" t="e">
        <f>X49*2</f>
        <v>#VALUE!</v>
      </c>
      <c r="BB49" t="str">
        <f>Y49</f>
        <v/>
      </c>
    </row>
    <row r="50" spans="4:54" x14ac:dyDescent="0.3">
      <c r="AB50" s="1" t="str">
        <f>IF(AF52=1, "+/-65536","")</f>
        <v/>
      </c>
      <c r="AH50" s="11"/>
      <c r="AI50" s="7" t="str">
        <f>IF(G45=1, IF(AF52=1, "нужно перевести число в прямой код, а также", "нужно перевести число в прямой код"),"")</f>
        <v/>
      </c>
    </row>
    <row r="51" spans="4:54" x14ac:dyDescent="0.3">
      <c r="AA51" s="1" t="str">
        <f>IF(G45=1, "=","")</f>
        <v/>
      </c>
      <c r="AB51" t="str">
        <f>IF(AF52=1, IF(G45=1, AB49+AJ51, AB45+AJ51),"")</f>
        <v/>
      </c>
      <c r="AC51" s="2" t="str">
        <f>IF(AF52=1, "(10)","")</f>
        <v/>
      </c>
      <c r="AD51" s="1"/>
      <c r="AG51" s="3"/>
      <c r="AH51" s="13"/>
      <c r="AI51" s="7" t="str">
        <f>IF(AF52=1, "нужно учесть флаг OF и прибавить к/вычесть из","")</f>
        <v/>
      </c>
      <c r="AJ51">
        <f>IF(AB49&lt;0, 65536, -65536)</f>
        <v>-65536</v>
      </c>
    </row>
    <row r="52" spans="4:54" x14ac:dyDescent="0.3">
      <c r="G52" t="s">
        <v>52</v>
      </c>
      <c r="J52">
        <f>AJ44</f>
        <v>1</v>
      </c>
      <c r="L52" t="s">
        <v>53</v>
      </c>
      <c r="O52">
        <f>MOD(SUM(V45:Y45,Q45:T45, 1), 2)</f>
        <v>1</v>
      </c>
      <c r="Q52" t="s">
        <v>58</v>
      </c>
      <c r="T52">
        <f>AY44</f>
        <v>1</v>
      </c>
      <c r="V52" t="s">
        <v>59</v>
      </c>
      <c r="Y52">
        <f>IF(AB45=0, 1, 0)</f>
        <v>0</v>
      </c>
      <c r="AB52" t="s">
        <v>60</v>
      </c>
      <c r="AC52">
        <f>G45</f>
        <v>0</v>
      </c>
      <c r="AE52" t="s">
        <v>61</v>
      </c>
      <c r="AF52">
        <f>IF(AJ44=AK44, 0, 1)</f>
        <v>0</v>
      </c>
      <c r="AH52" s="11"/>
      <c r="AI52" s="7" t="str">
        <f>IF(AF52=1, "результату 65536 (2^16)","")</f>
        <v/>
      </c>
    </row>
    <row r="53" spans="4:54" x14ac:dyDescent="0.3"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</row>
    <row r="54" spans="4:54" x14ac:dyDescent="0.3">
      <c r="E54" t="s">
        <v>66</v>
      </c>
      <c r="G54">
        <f>G10</f>
        <v>1</v>
      </c>
      <c r="H54">
        <f t="shared" ref="H54:Y55" si="84">H10</f>
        <v>1</v>
      </c>
      <c r="I54">
        <f t="shared" si="84"/>
        <v>1</v>
      </c>
      <c r="J54">
        <f t="shared" si="84"/>
        <v>0</v>
      </c>
      <c r="K54" t="str">
        <f t="shared" si="84"/>
        <v>.</v>
      </c>
      <c r="L54">
        <f t="shared" si="84"/>
        <v>0</v>
      </c>
      <c r="M54">
        <f t="shared" si="84"/>
        <v>1</v>
      </c>
      <c r="N54">
        <f t="shared" si="84"/>
        <v>1</v>
      </c>
      <c r="O54">
        <f t="shared" si="84"/>
        <v>1</v>
      </c>
      <c r="P54" t="str">
        <f t="shared" si="84"/>
        <v>.</v>
      </c>
      <c r="Q54">
        <f t="shared" si="84"/>
        <v>0</v>
      </c>
      <c r="R54">
        <f t="shared" si="84"/>
        <v>1</v>
      </c>
      <c r="S54">
        <f t="shared" si="84"/>
        <v>0</v>
      </c>
      <c r="T54">
        <f t="shared" si="84"/>
        <v>1</v>
      </c>
      <c r="U54" t="str">
        <f t="shared" si="84"/>
        <v>.</v>
      </c>
      <c r="V54">
        <f t="shared" si="84"/>
        <v>1</v>
      </c>
      <c r="W54">
        <f t="shared" si="84"/>
        <v>1</v>
      </c>
      <c r="X54">
        <f t="shared" si="84"/>
        <v>1</v>
      </c>
      <c r="Y54">
        <f t="shared" si="84"/>
        <v>0</v>
      </c>
      <c r="AD54" s="8"/>
      <c r="AE54" s="4" t="s">
        <v>67</v>
      </c>
      <c r="AF54" s="4"/>
      <c r="AG54" s="4">
        <f>C10</f>
        <v>-6305</v>
      </c>
      <c r="AH54" s="11"/>
      <c r="AI54" s="4" t="str">
        <f>IF(G54=G55, IF(G54=0, "При сложении двух положительных", "При сложении двух отрицательных"), "При сложении положительного и отрицательного")</f>
        <v>При сложении двух отрицательных</v>
      </c>
    </row>
    <row r="55" spans="4:54" x14ac:dyDescent="0.3">
      <c r="D55" s="1" t="s">
        <v>44</v>
      </c>
      <c r="E55" s="1" t="s">
        <v>68</v>
      </c>
      <c r="G55">
        <f>G11</f>
        <v>1</v>
      </c>
      <c r="H55">
        <f t="shared" si="84"/>
        <v>0</v>
      </c>
      <c r="I55">
        <f t="shared" si="84"/>
        <v>1</v>
      </c>
      <c r="J55">
        <f t="shared" si="84"/>
        <v>0</v>
      </c>
      <c r="K55" t="str">
        <f t="shared" si="84"/>
        <v>.</v>
      </c>
      <c r="L55">
        <f t="shared" si="84"/>
        <v>1</v>
      </c>
      <c r="M55">
        <f t="shared" si="84"/>
        <v>1</v>
      </c>
      <c r="N55">
        <f t="shared" si="84"/>
        <v>0</v>
      </c>
      <c r="O55">
        <f t="shared" si="84"/>
        <v>1</v>
      </c>
      <c r="P55" t="str">
        <f t="shared" si="84"/>
        <v>.</v>
      </c>
      <c r="Q55">
        <f t="shared" si="84"/>
        <v>0</v>
      </c>
      <c r="R55">
        <f t="shared" si="84"/>
        <v>0</v>
      </c>
      <c r="S55">
        <f t="shared" si="84"/>
        <v>0</v>
      </c>
      <c r="T55">
        <f t="shared" si="84"/>
        <v>1</v>
      </c>
      <c r="U55" t="str">
        <f t="shared" si="84"/>
        <v>.</v>
      </c>
      <c r="V55">
        <f t="shared" si="84"/>
        <v>0</v>
      </c>
      <c r="W55">
        <f t="shared" si="84"/>
        <v>1</v>
      </c>
      <c r="X55">
        <f t="shared" si="84"/>
        <v>1</v>
      </c>
      <c r="Y55">
        <f t="shared" si="84"/>
        <v>1</v>
      </c>
      <c r="AD55" s="9" t="s">
        <v>44</v>
      </c>
      <c r="AE55" s="4" t="s">
        <v>69</v>
      </c>
      <c r="AF55" s="4"/>
      <c r="AG55" s="4">
        <f>C11</f>
        <v>-21226</v>
      </c>
      <c r="AH55" s="11"/>
      <c r="AI55" s="4" t="str">
        <f>IF(G57=0,"чисел получилось положительное число.", "чисел получилось отрицательное число")</f>
        <v>чисел получилось отрицательное число</v>
      </c>
    </row>
    <row r="56" spans="4:54" x14ac:dyDescent="0.3">
      <c r="E56" s="1" t="s">
        <v>48</v>
      </c>
      <c r="F56" s="1" t="s">
        <v>47</v>
      </c>
      <c r="G56" s="1" t="s">
        <v>46</v>
      </c>
      <c r="H56" s="1" t="s">
        <v>46</v>
      </c>
      <c r="I56" s="1" t="s">
        <v>46</v>
      </c>
      <c r="J56" s="1" t="s">
        <v>46</v>
      </c>
      <c r="K56" s="1" t="s">
        <v>46</v>
      </c>
      <c r="L56" s="1" t="s">
        <v>46</v>
      </c>
      <c r="M56" s="1" t="s">
        <v>46</v>
      </c>
      <c r="N56" s="1" t="s">
        <v>46</v>
      </c>
      <c r="O56" s="1" t="s">
        <v>46</v>
      </c>
      <c r="P56" s="1" t="s">
        <v>46</v>
      </c>
      <c r="Q56" s="1" t="s">
        <v>46</v>
      </c>
      <c r="R56" s="1" t="s">
        <v>46</v>
      </c>
      <c r="S56" s="1" t="s">
        <v>46</v>
      </c>
      <c r="T56" s="1" t="s">
        <v>46</v>
      </c>
      <c r="U56" s="1" t="s">
        <v>46</v>
      </c>
      <c r="V56" s="1" t="s">
        <v>46</v>
      </c>
      <c r="W56" s="1" t="s">
        <v>46</v>
      </c>
      <c r="X56" s="1" t="s">
        <v>46</v>
      </c>
      <c r="Y56" s="1" t="s">
        <v>46</v>
      </c>
      <c r="Z56" s="1"/>
      <c r="AA56" s="1"/>
      <c r="AB56" s="1"/>
      <c r="AC56" s="1"/>
      <c r="AD56" s="8"/>
      <c r="AE56" s="5" t="s">
        <v>57</v>
      </c>
      <c r="AF56" s="5" t="s">
        <v>57</v>
      </c>
      <c r="AG56" s="5" t="s">
        <v>56</v>
      </c>
      <c r="AH56" s="12"/>
      <c r="AI56" s="5" t="str">
        <f>IF(AB57=AG57, "Результат верный и совпадает с", "Результат НЕ верный и НЕ совпадает с")</f>
        <v>Результат НЕ верный и НЕ совпадает с</v>
      </c>
      <c r="AJ56">
        <f>QUOTIENT(G54+G55+AK56, 2)</f>
        <v>1</v>
      </c>
      <c r="AK56">
        <f>QUOTIENT(H54+H55+AL56, 2)</f>
        <v>1</v>
      </c>
      <c r="AL56">
        <f>QUOTIENT(I54+I55+AM56, 2)</f>
        <v>1</v>
      </c>
      <c r="AM56">
        <f>QUOTIENT(J54+J55+AO56, 2)</f>
        <v>0</v>
      </c>
      <c r="AN56" t="s">
        <v>36</v>
      </c>
      <c r="AO56">
        <f>QUOTIENT(L54+L55+AP56, 2)</f>
        <v>1</v>
      </c>
      <c r="AP56">
        <f>QUOTIENT(M54+M55+AQ56, 2)</f>
        <v>1</v>
      </c>
      <c r="AQ56">
        <f>QUOTIENT(N54+N55+AR56, 2)</f>
        <v>1</v>
      </c>
      <c r="AR56">
        <f>QUOTIENT(O54+O55+AT56, 2)</f>
        <v>1</v>
      </c>
      <c r="AS56" t="s">
        <v>36</v>
      </c>
      <c r="AT56">
        <f>QUOTIENT(Q54+Q55+AU56, 2)</f>
        <v>0</v>
      </c>
      <c r="AU56">
        <f>QUOTIENT(R54+R55+AV56, 2)</f>
        <v>0</v>
      </c>
      <c r="AV56">
        <f>QUOTIENT(S54+S55+AW56, 2)</f>
        <v>0</v>
      </c>
      <c r="AW56">
        <f>QUOTIENT(T54+T55+AY56, 2)</f>
        <v>1</v>
      </c>
      <c r="AX56" t="s">
        <v>36</v>
      </c>
      <c r="AY56">
        <f>QUOTIENT(V54+V55+AZ56, 2)</f>
        <v>1</v>
      </c>
      <c r="AZ56">
        <f>QUOTIENT(W54+W55+BA56, 2)</f>
        <v>1</v>
      </c>
      <c r="BA56">
        <f>QUOTIENT(X54+X55+BB56, 2)</f>
        <v>1</v>
      </c>
      <c r="BB56">
        <f>QUOTIENT(Y54+Y55, 2)</f>
        <v>0</v>
      </c>
    </row>
    <row r="57" spans="4:54" x14ac:dyDescent="0.3">
      <c r="E57" t="str">
        <f>IF(G57=1, "(доп. код)", "")</f>
        <v>(доп. код)</v>
      </c>
      <c r="G57">
        <f>MOD(G54+G55+AK56, 2)</f>
        <v>1</v>
      </c>
      <c r="H57">
        <f>MOD(H54+H55+AL56, 2)</f>
        <v>0</v>
      </c>
      <c r="I57">
        <f>MOD(I54+I55+AM56, 2)</f>
        <v>0</v>
      </c>
      <c r="J57">
        <f>MOD(J54+J55+AO56, 2)</f>
        <v>1</v>
      </c>
      <c r="K57" t="s">
        <v>36</v>
      </c>
      <c r="L57">
        <f>MOD(L54+L55+AP56, 2)</f>
        <v>0</v>
      </c>
      <c r="M57">
        <f>MOD(M54+M55+AQ56, 2)</f>
        <v>1</v>
      </c>
      <c r="N57">
        <f>MOD(N54+N55+AR56, 2)</f>
        <v>0</v>
      </c>
      <c r="O57">
        <f>MOD(O54+O55+AT56, 2)</f>
        <v>0</v>
      </c>
      <c r="P57" t="s">
        <v>36</v>
      </c>
      <c r="Q57">
        <f>MOD(Q54+Q55+AU56, 2)</f>
        <v>0</v>
      </c>
      <c r="R57">
        <f>MOD(R54+R55+AV56, 2)</f>
        <v>1</v>
      </c>
      <c r="S57">
        <f>MOD(S54+S55+AW56, 2)</f>
        <v>1</v>
      </c>
      <c r="T57">
        <f>MOD(T54+T55+AY56, 2)</f>
        <v>1</v>
      </c>
      <c r="U57" t="s">
        <v>36</v>
      </c>
      <c r="V57">
        <f>MOD(V54+V55+AZ56, 2)</f>
        <v>0</v>
      </c>
      <c r="W57">
        <f>MOD(W54+W55+BA56, 2)</f>
        <v>1</v>
      </c>
      <c r="X57">
        <f>MOD(X54+X55+BB56, 2)</f>
        <v>0</v>
      </c>
      <c r="Y57">
        <f>MOD(Y54+Y55, 2)</f>
        <v>1</v>
      </c>
      <c r="Z57" s="2" t="s">
        <v>49</v>
      </c>
      <c r="AA57" s="1" t="s">
        <v>50</v>
      </c>
      <c r="AB57" s="1">
        <f>SUM(AK57:BB57)*AJ57</f>
        <v>-5237</v>
      </c>
      <c r="AC57" s="2" t="s">
        <v>51</v>
      </c>
      <c r="AD57" s="10" t="str">
        <f>IF(AB57=AG57, "=", "!=")</f>
        <v>!=</v>
      </c>
      <c r="AE57" s="14"/>
      <c r="AF57" s="14"/>
      <c r="AG57" s="6">
        <f>AG54+AG55</f>
        <v>-27531</v>
      </c>
      <c r="AH57" s="13" t="s">
        <v>51</v>
      </c>
      <c r="AI57" s="6" t="s">
        <v>62</v>
      </c>
      <c r="AJ57">
        <f>IF(G57=0, 1, -1)</f>
        <v>-1</v>
      </c>
      <c r="AK57">
        <f>H57*16384</f>
        <v>0</v>
      </c>
      <c r="AL57">
        <f>I57*8192</f>
        <v>0</v>
      </c>
      <c r="AM57">
        <f>J57*4096</f>
        <v>4096</v>
      </c>
      <c r="AO57">
        <f>L57*2048</f>
        <v>0</v>
      </c>
      <c r="AP57">
        <f>M57*1024</f>
        <v>1024</v>
      </c>
      <c r="AQ57">
        <f>N57*512</f>
        <v>0</v>
      </c>
      <c r="AR57">
        <f>O57*256</f>
        <v>0</v>
      </c>
      <c r="AT57">
        <f>Q57*128</f>
        <v>0</v>
      </c>
      <c r="AU57">
        <f>R57*64</f>
        <v>64</v>
      </c>
      <c r="AV57">
        <f>S57*32</f>
        <v>32</v>
      </c>
      <c r="AW57">
        <f>T57*16</f>
        <v>16</v>
      </c>
      <c r="AY57">
        <f>V57*8</f>
        <v>0</v>
      </c>
      <c r="AZ57">
        <f>W57*4</f>
        <v>4</v>
      </c>
      <c r="BA57">
        <f>X57*2</f>
        <v>0</v>
      </c>
      <c r="BB57">
        <f>Y57</f>
        <v>1</v>
      </c>
    </row>
    <row r="58" spans="4:54" x14ac:dyDescent="0.3">
      <c r="AD58" s="4"/>
      <c r="AE58" s="4"/>
      <c r="AF58" s="4"/>
      <c r="AG58" s="4"/>
      <c r="AH58" s="11"/>
      <c r="AI58" s="4" t="s">
        <v>63</v>
      </c>
    </row>
    <row r="59" spans="4:54" hidden="1" x14ac:dyDescent="0.3">
      <c r="G59">
        <v>1</v>
      </c>
      <c r="H59">
        <v>1</v>
      </c>
      <c r="I59">
        <v>1</v>
      </c>
      <c r="J59">
        <v>1</v>
      </c>
      <c r="K59" t="s">
        <v>36</v>
      </c>
      <c r="L59">
        <v>1</v>
      </c>
      <c r="M59">
        <v>1</v>
      </c>
      <c r="N59">
        <v>1</v>
      </c>
      <c r="O59">
        <v>1</v>
      </c>
      <c r="P59" t="s">
        <v>36</v>
      </c>
      <c r="Q59">
        <v>1</v>
      </c>
      <c r="R59">
        <v>1</v>
      </c>
      <c r="S59">
        <v>1</v>
      </c>
      <c r="T59">
        <v>1</v>
      </c>
      <c r="U59" t="s">
        <v>36</v>
      </c>
      <c r="V59">
        <v>1</v>
      </c>
      <c r="W59">
        <v>1</v>
      </c>
      <c r="X59">
        <v>1</v>
      </c>
      <c r="Y59">
        <v>1</v>
      </c>
      <c r="AD59" s="4"/>
      <c r="AE59" s="4"/>
      <c r="AF59" s="4"/>
      <c r="AG59" s="4"/>
      <c r="AH59" s="11"/>
      <c r="AI59" s="4"/>
      <c r="AJ59">
        <f>QUOTIENT(G57+G59+AK59, 2)</f>
        <v>1</v>
      </c>
      <c r="AK59">
        <f>QUOTIENT(H57+H59+AL59, 2)</f>
        <v>1</v>
      </c>
      <c r="AL59">
        <f>QUOTIENT(I57+I59+AM59, 2)</f>
        <v>1</v>
      </c>
      <c r="AM59">
        <f>QUOTIENT(J57+J59+AO59, 2)</f>
        <v>1</v>
      </c>
      <c r="AN59" t="s">
        <v>36</v>
      </c>
      <c r="AO59">
        <f>QUOTIENT(L57+L59+AP59, 2)</f>
        <v>1</v>
      </c>
      <c r="AP59">
        <f>QUOTIENT(M57+M59+AQ59, 2)</f>
        <v>1</v>
      </c>
      <c r="AQ59">
        <f>QUOTIENT(N57+N59+AR59, 2)</f>
        <v>1</v>
      </c>
      <c r="AR59">
        <f>QUOTIENT(O57+O59+AT59, 2)</f>
        <v>1</v>
      </c>
      <c r="AS59" t="s">
        <v>36</v>
      </c>
      <c r="AT59">
        <f>QUOTIENT(Q57+Q59+AU59, 2)</f>
        <v>1</v>
      </c>
      <c r="AU59">
        <f>QUOTIENT(R57+R59+AV59, 2)</f>
        <v>1</v>
      </c>
      <c r="AV59">
        <f>QUOTIENT(S57+S59+AW59, 2)</f>
        <v>1</v>
      </c>
      <c r="AW59">
        <f>QUOTIENT(T57+T59+AY59, 2)</f>
        <v>1</v>
      </c>
      <c r="AX59" t="s">
        <v>36</v>
      </c>
      <c r="AY59">
        <f>QUOTIENT(V57+V59+AZ59, 2)</f>
        <v>1</v>
      </c>
      <c r="AZ59">
        <f>QUOTIENT(W57+W59+BA59, 2)</f>
        <v>1</v>
      </c>
      <c r="BA59">
        <f>QUOTIENT(X57+X59+BB59, 2)</f>
        <v>1</v>
      </c>
      <c r="BB59">
        <f>QUOTIENT(Y57+Y59, 2)</f>
        <v>1</v>
      </c>
    </row>
    <row r="60" spans="4:54" hidden="1" x14ac:dyDescent="0.3">
      <c r="G60">
        <f t="shared" ref="G60" si="85">MOD(G57+G59+AK59, 2)</f>
        <v>1</v>
      </c>
      <c r="H60">
        <f t="shared" ref="H60" si="86">MOD(H57+H59+AL59, 2)</f>
        <v>0</v>
      </c>
      <c r="I60">
        <f t="shared" ref="I60" si="87">MOD(I57+I59+AM59, 2)</f>
        <v>0</v>
      </c>
      <c r="J60">
        <f>MOD(J57+J59+AO59, 2)</f>
        <v>1</v>
      </c>
      <c r="K60" t="s">
        <v>36</v>
      </c>
      <c r="L60">
        <f t="shared" ref="L60" si="88">MOD(L57+L59+AP59, 2)</f>
        <v>0</v>
      </c>
      <c r="M60">
        <f t="shared" ref="M60" si="89">MOD(M57+M59+AQ59, 2)</f>
        <v>1</v>
      </c>
      <c r="N60">
        <f t="shared" ref="N60" si="90">MOD(N57+N59+AR59, 2)</f>
        <v>0</v>
      </c>
      <c r="O60">
        <f>MOD(O57+O59+AT59, 2)</f>
        <v>0</v>
      </c>
      <c r="P60" t="s">
        <v>36</v>
      </c>
      <c r="Q60">
        <f t="shared" ref="Q60" si="91">MOD(Q57+Q59+AU59, 2)</f>
        <v>0</v>
      </c>
      <c r="R60">
        <f t="shared" ref="R60" si="92">MOD(R57+R59+AV59, 2)</f>
        <v>1</v>
      </c>
      <c r="S60">
        <f t="shared" ref="S60" si="93">MOD(S57+S59+AW59, 2)</f>
        <v>1</v>
      </c>
      <c r="T60">
        <f>MOD(T57+T59+AY59, 2)</f>
        <v>1</v>
      </c>
      <c r="U60" t="s">
        <v>36</v>
      </c>
      <c r="V60">
        <f t="shared" ref="V60" si="94">MOD(V57+V59+AZ59, 2)</f>
        <v>0</v>
      </c>
      <c r="W60">
        <f t="shared" ref="W60" si="95">MOD(W57+W59+BA59, 2)</f>
        <v>1</v>
      </c>
      <c r="X60">
        <f>MOD(X57+X59+BB59, 2)</f>
        <v>0</v>
      </c>
      <c r="Y60">
        <f>MOD(Y57+Y59+BC59, 2)</f>
        <v>0</v>
      </c>
      <c r="AD60" s="4"/>
      <c r="AE60" s="4"/>
      <c r="AF60" s="4"/>
      <c r="AG60" s="4"/>
      <c r="AH60" s="11"/>
      <c r="AI60" s="4"/>
    </row>
    <row r="61" spans="4:54" x14ac:dyDescent="0.3">
      <c r="E61" t="str">
        <f>IF(G57=1, "(прям.код)", "")</f>
        <v>(прям.код)</v>
      </c>
      <c r="G61">
        <f>IF(G57=1,G60, "")</f>
        <v>1</v>
      </c>
      <c r="H61">
        <f>IF(G57=1, IF(H60=0, 1, 0), "")</f>
        <v>1</v>
      </c>
      <c r="I61">
        <f>IF(G57=1, IF(I60=0, 1, 0),"")</f>
        <v>1</v>
      </c>
      <c r="J61">
        <f>IF(G57=1, IF(J60=0, 1, 0),"")</f>
        <v>0</v>
      </c>
      <c r="K61" t="str">
        <f>IF(G57=1, ".","")</f>
        <v>.</v>
      </c>
      <c r="L61">
        <f>IF(G57=1, IF(L60=0, 1, 0),"")</f>
        <v>1</v>
      </c>
      <c r="M61">
        <f>IF(G57=1, IF(M60=0, 1, 0),"")</f>
        <v>0</v>
      </c>
      <c r="N61">
        <f>IF(G57=1, IF(N60=0, 1, 0),"")</f>
        <v>1</v>
      </c>
      <c r="O61">
        <f>IF(G57=1, IF(O60=0, 1, 0),"")</f>
        <v>1</v>
      </c>
      <c r="P61" t="str">
        <f>IF(G57=1, ".","")</f>
        <v>.</v>
      </c>
      <c r="Q61">
        <f>IF(G57=1, IF(Q60=0, 1, 0), "")</f>
        <v>1</v>
      </c>
      <c r="R61">
        <f>IF(G57=1, IF(R60=0, 1, 0), "")</f>
        <v>0</v>
      </c>
      <c r="S61">
        <f>IF(G57=1, IF(S60=0, 1, 0), "")</f>
        <v>0</v>
      </c>
      <c r="T61">
        <f>IF(G57=1, IF(T60=0, 1, 0),"")</f>
        <v>0</v>
      </c>
      <c r="U61" t="str">
        <f>IF(G57=1, ".","")</f>
        <v>.</v>
      </c>
      <c r="V61">
        <f>IF(G57=1, IF(V60=0, 1, 0),"")</f>
        <v>1</v>
      </c>
      <c r="W61">
        <f>IF(G57=1, IF(W60=0, 1, 0),"")</f>
        <v>0</v>
      </c>
      <c r="X61">
        <f>IF(G57=1, IF(X60=0, 1, 0),"")</f>
        <v>1</v>
      </c>
      <c r="Y61">
        <f>IF(G57=1, IF(Y60=0, 1, 0),"")</f>
        <v>1</v>
      </c>
      <c r="Z61" s="2" t="str">
        <f>IF(G57=1, "(2)","")</f>
        <v>(2)</v>
      </c>
      <c r="AA61" s="1" t="str">
        <f>IF(G57=1, "=","")</f>
        <v>=</v>
      </c>
      <c r="AB61" s="1">
        <f>IF(G57=1, SUM(AK61:BB61)*AJ61,"")</f>
        <v>-27531</v>
      </c>
      <c r="AC61" s="2" t="str">
        <f>IF(G57=1, "(10)","")</f>
        <v>(10)</v>
      </c>
      <c r="AD61" s="4"/>
      <c r="AE61" s="4"/>
      <c r="AF61" s="4"/>
      <c r="AG61" s="4"/>
      <c r="AH61" s="11"/>
      <c r="AI61" s="7" t="str">
        <f>IF(AD57="!=", "Для получения верного результата","")</f>
        <v>Для получения верного результата</v>
      </c>
      <c r="AJ61">
        <f>IF(G61=0, 1, -1)</f>
        <v>-1</v>
      </c>
      <c r="AK61">
        <f>H61*16384</f>
        <v>16384</v>
      </c>
      <c r="AL61">
        <f>I61*8192</f>
        <v>8192</v>
      </c>
      <c r="AM61">
        <f>J61*4096</f>
        <v>0</v>
      </c>
      <c r="AO61">
        <f>L61*2048</f>
        <v>2048</v>
      </c>
      <c r="AP61">
        <f>M61*1024</f>
        <v>0</v>
      </c>
      <c r="AQ61">
        <f>N61*512</f>
        <v>512</v>
      </c>
      <c r="AR61">
        <f>O61*256</f>
        <v>256</v>
      </c>
      <c r="AT61">
        <f>Q61*128</f>
        <v>128</v>
      </c>
      <c r="AU61">
        <f>R61*64</f>
        <v>0</v>
      </c>
      <c r="AV61">
        <f>S61*32</f>
        <v>0</v>
      </c>
      <c r="AW61">
        <f>T61*16</f>
        <v>0</v>
      </c>
      <c r="AY61">
        <f>V61*8</f>
        <v>8</v>
      </c>
      <c r="AZ61">
        <f>W61*4</f>
        <v>0</v>
      </c>
      <c r="BA61">
        <f>X61*2</f>
        <v>2</v>
      </c>
      <c r="BB61">
        <f>Y61</f>
        <v>1</v>
      </c>
    </row>
    <row r="62" spans="4:54" x14ac:dyDescent="0.3">
      <c r="AB62" s="1" t="str">
        <f>IF(AF64=1, "+/-65536","")</f>
        <v/>
      </c>
      <c r="AD62" s="4"/>
      <c r="AE62" s="4"/>
      <c r="AF62" s="4"/>
      <c r="AG62" s="4"/>
      <c r="AH62" s="11"/>
      <c r="AI62" s="7" t="str">
        <f>IF(G57=1, IF(AF64=1, "нужно перевести число в прямой код, а также", "нужно перевести число в прямой код"),"")</f>
        <v>нужно перевести число в прямой код</v>
      </c>
    </row>
    <row r="63" spans="4:54" x14ac:dyDescent="0.3">
      <c r="AA63" s="1" t="str">
        <f>IF(G57=1, "=","")</f>
        <v>=</v>
      </c>
      <c r="AB63" t="str">
        <f>IF(AF64=1, IF(G57=1, AB61+AJ63, AB57+AJ63),"")</f>
        <v/>
      </c>
      <c r="AC63" s="2" t="str">
        <f>IF(AF64=1, "(10)","")</f>
        <v/>
      </c>
      <c r="AD63" s="5"/>
      <c r="AE63" s="4"/>
      <c r="AF63" s="4"/>
      <c r="AG63" s="6"/>
      <c r="AH63" s="14"/>
      <c r="AI63" s="7" t="str">
        <f>IF(AF64=1, "нужно учесть флаг OF и прибавить к/вычесть из","")</f>
        <v/>
      </c>
      <c r="AJ63">
        <f>IF(AB61&lt;0, 65536, -65536)</f>
        <v>65536</v>
      </c>
    </row>
    <row r="64" spans="4:54" x14ac:dyDescent="0.3">
      <c r="G64" t="s">
        <v>52</v>
      </c>
      <c r="J64">
        <f>AJ56</f>
        <v>1</v>
      </c>
      <c r="L64" t="s">
        <v>53</v>
      </c>
      <c r="O64">
        <f>MOD(SUM(V57:Y57,Q57:T57, 1), 2)</f>
        <v>0</v>
      </c>
      <c r="Q64" t="s">
        <v>58</v>
      </c>
      <c r="T64">
        <f>AY56</f>
        <v>1</v>
      </c>
      <c r="V64" t="s">
        <v>59</v>
      </c>
      <c r="Y64">
        <f>IF(AB57=0, 1, 0)</f>
        <v>0</v>
      </c>
      <c r="AB64" t="s">
        <v>60</v>
      </c>
      <c r="AC64">
        <f>G57</f>
        <v>1</v>
      </c>
      <c r="AD64" s="4"/>
      <c r="AE64" s="4" t="s">
        <v>61</v>
      </c>
      <c r="AF64" s="4">
        <f>IF(AJ56=AK56, 0, 1)</f>
        <v>0</v>
      </c>
      <c r="AG64" s="4"/>
      <c r="AH64" s="4"/>
      <c r="AI64" s="7" t="str">
        <f>IF(AF64=1, "результату 65536 (2^16)","")</f>
        <v/>
      </c>
    </row>
    <row r="65" spans="4:54" x14ac:dyDescent="0.3"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</row>
    <row r="66" spans="4:54" x14ac:dyDescent="0.3">
      <c r="E66" t="s">
        <v>68</v>
      </c>
      <c r="G66">
        <f>G11</f>
        <v>1</v>
      </c>
      <c r="H66">
        <f t="shared" ref="H66:Y67" si="96">H11</f>
        <v>0</v>
      </c>
      <c r="I66">
        <f t="shared" si="96"/>
        <v>1</v>
      </c>
      <c r="J66">
        <f t="shared" si="96"/>
        <v>0</v>
      </c>
      <c r="K66" t="str">
        <f t="shared" si="96"/>
        <v>.</v>
      </c>
      <c r="L66">
        <f t="shared" si="96"/>
        <v>1</v>
      </c>
      <c r="M66">
        <f t="shared" si="96"/>
        <v>1</v>
      </c>
      <c r="N66">
        <f t="shared" si="96"/>
        <v>0</v>
      </c>
      <c r="O66">
        <f t="shared" si="96"/>
        <v>1</v>
      </c>
      <c r="P66" t="str">
        <f t="shared" si="96"/>
        <v>.</v>
      </c>
      <c r="Q66">
        <f t="shared" si="96"/>
        <v>0</v>
      </c>
      <c r="R66">
        <f t="shared" si="96"/>
        <v>0</v>
      </c>
      <c r="S66">
        <f t="shared" si="96"/>
        <v>0</v>
      </c>
      <c r="T66">
        <f t="shared" si="96"/>
        <v>1</v>
      </c>
      <c r="U66" t="str">
        <f t="shared" si="96"/>
        <v>.</v>
      </c>
      <c r="V66">
        <f t="shared" si="96"/>
        <v>0</v>
      </c>
      <c r="W66">
        <f t="shared" si="96"/>
        <v>1</v>
      </c>
      <c r="X66">
        <f t="shared" si="96"/>
        <v>1</v>
      </c>
      <c r="Y66">
        <f t="shared" si="96"/>
        <v>1</v>
      </c>
      <c r="AD66" s="8"/>
      <c r="AE66" t="s">
        <v>69</v>
      </c>
      <c r="AG66">
        <f>C11</f>
        <v>-21226</v>
      </c>
      <c r="AH66" s="11"/>
      <c r="AI66" s="4" t="str">
        <f>IF(G66=G67, IF(G66=0, "При сложении двух положительных", "При сложении двух отрицательных"), "При сложении положительного и отрицательного")</f>
        <v>При сложении двух отрицательных</v>
      </c>
    </row>
    <row r="67" spans="4:54" x14ac:dyDescent="0.3">
      <c r="D67" s="1" t="s">
        <v>44</v>
      </c>
      <c r="E67" s="1" t="s">
        <v>70</v>
      </c>
      <c r="G67">
        <f>G12</f>
        <v>1</v>
      </c>
      <c r="H67">
        <f t="shared" si="96"/>
        <v>0</v>
      </c>
      <c r="I67">
        <f t="shared" si="96"/>
        <v>0</v>
      </c>
      <c r="J67">
        <f t="shared" si="96"/>
        <v>1</v>
      </c>
      <c r="K67" t="str">
        <f t="shared" si="96"/>
        <v>.</v>
      </c>
      <c r="L67">
        <f t="shared" si="96"/>
        <v>0</v>
      </c>
      <c r="M67">
        <f t="shared" si="96"/>
        <v>1</v>
      </c>
      <c r="N67">
        <f t="shared" si="96"/>
        <v>0</v>
      </c>
      <c r="O67">
        <f t="shared" si="96"/>
        <v>0</v>
      </c>
      <c r="P67" t="str">
        <f t="shared" si="96"/>
        <v>.</v>
      </c>
      <c r="Q67">
        <f t="shared" si="96"/>
        <v>0</v>
      </c>
      <c r="R67">
        <f t="shared" si="96"/>
        <v>1</v>
      </c>
      <c r="S67">
        <f t="shared" si="96"/>
        <v>1</v>
      </c>
      <c r="T67">
        <f t="shared" si="96"/>
        <v>1</v>
      </c>
      <c r="U67" t="str">
        <f t="shared" si="96"/>
        <v>.</v>
      </c>
      <c r="V67">
        <f t="shared" si="96"/>
        <v>0</v>
      </c>
      <c r="W67">
        <f t="shared" si="96"/>
        <v>1</v>
      </c>
      <c r="X67">
        <f t="shared" si="96"/>
        <v>0</v>
      </c>
      <c r="Y67">
        <f t="shared" si="96"/>
        <v>0</v>
      </c>
      <c r="AD67" s="9" t="s">
        <v>44</v>
      </c>
      <c r="AE67" t="s">
        <v>71</v>
      </c>
      <c r="AG67">
        <f>C12</f>
        <v>-27531</v>
      </c>
      <c r="AH67" s="11"/>
      <c r="AI67" s="4" t="str">
        <f>IF(G69=0,"чисел получилось положительное число.", "чисел получилось отрицательное число")</f>
        <v>чисел получилось положительное число.</v>
      </c>
    </row>
    <row r="68" spans="4:54" x14ac:dyDescent="0.3">
      <c r="E68" s="1" t="s">
        <v>48</v>
      </c>
      <c r="F68" s="1" t="s">
        <v>47</v>
      </c>
      <c r="G68" s="1" t="s">
        <v>46</v>
      </c>
      <c r="H68" s="1" t="s">
        <v>46</v>
      </c>
      <c r="I68" s="1" t="s">
        <v>46</v>
      </c>
      <c r="J68" s="1" t="s">
        <v>46</v>
      </c>
      <c r="K68" s="1" t="s">
        <v>46</v>
      </c>
      <c r="L68" s="1" t="s">
        <v>46</v>
      </c>
      <c r="M68" s="1" t="s">
        <v>46</v>
      </c>
      <c r="N68" s="1" t="s">
        <v>46</v>
      </c>
      <c r="O68" s="1" t="s">
        <v>46</v>
      </c>
      <c r="P68" s="1" t="s">
        <v>46</v>
      </c>
      <c r="Q68" s="1" t="s">
        <v>46</v>
      </c>
      <c r="R68" s="1" t="s">
        <v>46</v>
      </c>
      <c r="S68" s="1" t="s">
        <v>46</v>
      </c>
      <c r="T68" s="1" t="s">
        <v>46</v>
      </c>
      <c r="U68" s="1" t="s">
        <v>46</v>
      </c>
      <c r="V68" s="1" t="s">
        <v>46</v>
      </c>
      <c r="W68" s="1" t="s">
        <v>46</v>
      </c>
      <c r="X68" s="1" t="s">
        <v>46</v>
      </c>
      <c r="Y68" s="1" t="s">
        <v>46</v>
      </c>
      <c r="Z68" s="1"/>
      <c r="AA68" s="1"/>
      <c r="AB68" s="1"/>
      <c r="AC68" s="1"/>
      <c r="AD68" s="8"/>
      <c r="AE68" s="1" t="s">
        <v>57</v>
      </c>
      <c r="AF68" s="1" t="s">
        <v>57</v>
      </c>
      <c r="AG68" s="1" t="s">
        <v>56</v>
      </c>
      <c r="AH68" s="12"/>
      <c r="AI68" s="5" t="str">
        <f>IF(AB69=AG69, "Результат верный и совпадает с", "Результат НЕ верный и НЕ совпадает с")</f>
        <v>Результат НЕ верный и НЕ совпадает с</v>
      </c>
      <c r="AJ68">
        <f>QUOTIENT(G66+G67+AK68, 2)</f>
        <v>1</v>
      </c>
      <c r="AK68">
        <f>QUOTIENT(H66+H67+AL68, 2)</f>
        <v>0</v>
      </c>
      <c r="AL68">
        <f>QUOTIENT(I66+I67+AM68, 2)</f>
        <v>1</v>
      </c>
      <c r="AM68">
        <f>QUOTIENT(J66+J67+AO68, 2)</f>
        <v>1</v>
      </c>
      <c r="AN68" t="s">
        <v>36</v>
      </c>
      <c r="AO68">
        <f>QUOTIENT(L66+L67+AP68, 2)</f>
        <v>1</v>
      </c>
      <c r="AP68">
        <f>QUOTIENT(M66+M67+AQ68, 2)</f>
        <v>1</v>
      </c>
      <c r="AQ68">
        <f>QUOTIENT(N66+N67+AR68, 2)</f>
        <v>0</v>
      </c>
      <c r="AR68">
        <f>QUOTIENT(O66+O67+AT68, 2)</f>
        <v>0</v>
      </c>
      <c r="AS68" t="s">
        <v>36</v>
      </c>
      <c r="AT68">
        <f>QUOTIENT(Q66+Q67+AU68, 2)</f>
        <v>0</v>
      </c>
      <c r="AU68">
        <f>QUOTIENT(R66+R67+AV68, 2)</f>
        <v>1</v>
      </c>
      <c r="AV68">
        <f>QUOTIENT(S66+S67+AW68, 2)</f>
        <v>1</v>
      </c>
      <c r="AW68">
        <f>QUOTIENT(T66+T67+AY68, 2)</f>
        <v>1</v>
      </c>
      <c r="AX68" t="s">
        <v>36</v>
      </c>
      <c r="AY68">
        <f>QUOTIENT(V66+V67+AZ68, 2)</f>
        <v>0</v>
      </c>
      <c r="AZ68">
        <f>QUOTIENT(W66+W67+BA68, 2)</f>
        <v>1</v>
      </c>
      <c r="BA68">
        <f>QUOTIENT(X66+X67+BB68, 2)</f>
        <v>0</v>
      </c>
      <c r="BB68">
        <f>QUOTIENT(Y66+Y67, 2)</f>
        <v>0</v>
      </c>
    </row>
    <row r="69" spans="4:54" x14ac:dyDescent="0.3">
      <c r="E69" t="str">
        <f>IF(G69=1, "(доп. код)", "")</f>
        <v/>
      </c>
      <c r="G69">
        <f>MOD(G66+G67+AK68, 2)</f>
        <v>0</v>
      </c>
      <c r="H69">
        <f>MOD(H66+H67+AL68, 2)</f>
        <v>1</v>
      </c>
      <c r="I69">
        <f>MOD(I66+I67+AM68, 2)</f>
        <v>0</v>
      </c>
      <c r="J69">
        <f>MOD(J66+J67+AO68, 2)</f>
        <v>0</v>
      </c>
      <c r="K69" t="s">
        <v>36</v>
      </c>
      <c r="L69">
        <f>MOD(L66+L67+AP68, 2)</f>
        <v>0</v>
      </c>
      <c r="M69">
        <f>MOD(M66+M67+AQ68, 2)</f>
        <v>0</v>
      </c>
      <c r="N69">
        <f>MOD(N66+N67+AR68, 2)</f>
        <v>0</v>
      </c>
      <c r="O69">
        <f>MOD(O66+O67+AT68, 2)</f>
        <v>1</v>
      </c>
      <c r="P69" t="s">
        <v>36</v>
      </c>
      <c r="Q69">
        <f>MOD(Q66+Q67+AU68, 2)</f>
        <v>1</v>
      </c>
      <c r="R69">
        <f>MOD(R66+R67+AV68, 2)</f>
        <v>0</v>
      </c>
      <c r="S69">
        <f>MOD(S66+S67+AW68, 2)</f>
        <v>0</v>
      </c>
      <c r="T69">
        <f>MOD(T66+T67+AY68, 2)</f>
        <v>0</v>
      </c>
      <c r="U69" t="s">
        <v>36</v>
      </c>
      <c r="V69">
        <f>MOD(V66+V67+AZ68, 2)</f>
        <v>1</v>
      </c>
      <c r="W69">
        <f>MOD(W66+W67+BA68, 2)</f>
        <v>0</v>
      </c>
      <c r="X69">
        <f>MOD(X66+X67+BB68, 2)</f>
        <v>1</v>
      </c>
      <c r="Y69">
        <f>MOD(Y66+Y67, 2)</f>
        <v>1</v>
      </c>
      <c r="Z69" s="2" t="s">
        <v>49</v>
      </c>
      <c r="AA69" s="1" t="s">
        <v>50</v>
      </c>
      <c r="AB69" s="1">
        <f>SUM(AK69:BB69)*AJ69</f>
        <v>16779</v>
      </c>
      <c r="AC69" s="2" t="s">
        <v>51</v>
      </c>
      <c r="AD69" s="10" t="str">
        <f>IF(AB69=AG69, "=", "!=")</f>
        <v>!=</v>
      </c>
      <c r="AE69" s="2"/>
      <c r="AF69" s="2"/>
      <c r="AG69" s="3">
        <f>AG66+AG67</f>
        <v>-48757</v>
      </c>
      <c r="AH69" s="13" t="s">
        <v>51</v>
      </c>
      <c r="AI69" s="6" t="s">
        <v>62</v>
      </c>
      <c r="AJ69">
        <f>IF(G69=0, 1, -1)</f>
        <v>1</v>
      </c>
      <c r="AK69">
        <f>H69*16384</f>
        <v>16384</v>
      </c>
      <c r="AL69">
        <f>I69*8192</f>
        <v>0</v>
      </c>
      <c r="AM69">
        <f>J69*4096</f>
        <v>0</v>
      </c>
      <c r="AO69">
        <f>L69*2048</f>
        <v>0</v>
      </c>
      <c r="AP69">
        <f>M69*1024</f>
        <v>0</v>
      </c>
      <c r="AQ69">
        <f>N69*512</f>
        <v>0</v>
      </c>
      <c r="AR69">
        <f>O69*256</f>
        <v>256</v>
      </c>
      <c r="AT69">
        <f>Q69*128</f>
        <v>128</v>
      </c>
      <c r="AU69">
        <f>R69*64</f>
        <v>0</v>
      </c>
      <c r="AV69">
        <f>S69*32</f>
        <v>0</v>
      </c>
      <c r="AW69">
        <f>T69*16</f>
        <v>0</v>
      </c>
      <c r="AY69">
        <f>V69*8</f>
        <v>8</v>
      </c>
      <c r="AZ69">
        <f>W69*4</f>
        <v>0</v>
      </c>
      <c r="BA69">
        <f>X69*2</f>
        <v>2</v>
      </c>
      <c r="BB69">
        <f>Y69</f>
        <v>1</v>
      </c>
    </row>
    <row r="70" spans="4:54" x14ac:dyDescent="0.3">
      <c r="AH70" s="11"/>
      <c r="AI70" s="4" t="s">
        <v>63</v>
      </c>
    </row>
    <row r="71" spans="4:54" hidden="1" x14ac:dyDescent="0.3">
      <c r="G71">
        <v>1</v>
      </c>
      <c r="H71">
        <v>1</v>
      </c>
      <c r="I71">
        <v>1</v>
      </c>
      <c r="J71">
        <v>1</v>
      </c>
      <c r="K71" t="s">
        <v>36</v>
      </c>
      <c r="L71">
        <v>1</v>
      </c>
      <c r="M71">
        <v>1</v>
      </c>
      <c r="N71">
        <v>1</v>
      </c>
      <c r="O71">
        <v>1</v>
      </c>
      <c r="P71" t="s">
        <v>36</v>
      </c>
      <c r="Q71">
        <v>1</v>
      </c>
      <c r="R71">
        <v>1</v>
      </c>
      <c r="S71">
        <v>1</v>
      </c>
      <c r="T71">
        <v>1</v>
      </c>
      <c r="U71" t="s">
        <v>36</v>
      </c>
      <c r="V71">
        <v>1</v>
      </c>
      <c r="W71">
        <v>1</v>
      </c>
      <c r="X71">
        <v>1</v>
      </c>
      <c r="Y71">
        <v>1</v>
      </c>
      <c r="AI71" s="4"/>
      <c r="AJ71">
        <f>QUOTIENT(G69+G71+AK71, 2)</f>
        <v>1</v>
      </c>
      <c r="AK71">
        <f>QUOTIENT(H69+H71+AL71, 2)</f>
        <v>1</v>
      </c>
      <c r="AL71">
        <f>QUOTIENT(I69+I71+AM71, 2)</f>
        <v>1</v>
      </c>
      <c r="AM71">
        <f>QUOTIENT(J69+J71+AO71, 2)</f>
        <v>1</v>
      </c>
      <c r="AN71" t="s">
        <v>36</v>
      </c>
      <c r="AO71">
        <f>QUOTIENT(L69+L71+AP71, 2)</f>
        <v>1</v>
      </c>
      <c r="AP71">
        <f>QUOTIENT(M69+M71+AQ71, 2)</f>
        <v>1</v>
      </c>
      <c r="AQ71">
        <f>QUOTIENT(N69+N71+AR71, 2)</f>
        <v>1</v>
      </c>
      <c r="AR71">
        <f>QUOTIENT(O69+O71+AT71, 2)</f>
        <v>1</v>
      </c>
      <c r="AS71" t="s">
        <v>36</v>
      </c>
      <c r="AT71">
        <f>QUOTIENT(Q69+Q71+AU71, 2)</f>
        <v>1</v>
      </c>
      <c r="AU71">
        <f>QUOTIENT(R69+R71+AV71, 2)</f>
        <v>1</v>
      </c>
      <c r="AV71">
        <f>QUOTIENT(S69+S71+AW71, 2)</f>
        <v>1</v>
      </c>
      <c r="AW71">
        <f>QUOTIENT(T69+T71+AY71, 2)</f>
        <v>1</v>
      </c>
      <c r="AX71" t="s">
        <v>36</v>
      </c>
      <c r="AY71">
        <f>QUOTIENT(V69+V71+AZ71, 2)</f>
        <v>1</v>
      </c>
      <c r="AZ71">
        <f>QUOTIENT(W69+W71+BA71, 2)</f>
        <v>1</v>
      </c>
      <c r="BA71">
        <f>QUOTIENT(X69+X71+BB71, 2)</f>
        <v>1</v>
      </c>
      <c r="BB71">
        <f>QUOTIENT(Y69+Y71, 2)</f>
        <v>1</v>
      </c>
    </row>
    <row r="72" spans="4:54" hidden="1" x14ac:dyDescent="0.3">
      <c r="G72">
        <f t="shared" ref="G72" si="97">MOD(G69+G71+AK71, 2)</f>
        <v>0</v>
      </c>
      <c r="H72">
        <f t="shared" ref="H72" si="98">MOD(H69+H71+AL71, 2)</f>
        <v>1</v>
      </c>
      <c r="I72">
        <f t="shared" ref="I72" si="99">MOD(I69+I71+AM71, 2)</f>
        <v>0</v>
      </c>
      <c r="J72">
        <f>MOD(J69+J71+AO71, 2)</f>
        <v>0</v>
      </c>
      <c r="K72" t="s">
        <v>36</v>
      </c>
      <c r="L72">
        <f t="shared" ref="L72" si="100">MOD(L69+L71+AP71, 2)</f>
        <v>0</v>
      </c>
      <c r="M72">
        <f t="shared" ref="M72" si="101">MOD(M69+M71+AQ71, 2)</f>
        <v>0</v>
      </c>
      <c r="N72">
        <f t="shared" ref="N72" si="102">MOD(N69+N71+AR71, 2)</f>
        <v>0</v>
      </c>
      <c r="O72">
        <f>MOD(O69+O71+AT71, 2)</f>
        <v>1</v>
      </c>
      <c r="P72" t="s">
        <v>36</v>
      </c>
      <c r="Q72">
        <f t="shared" ref="Q72" si="103">MOD(Q69+Q71+AU71, 2)</f>
        <v>1</v>
      </c>
      <c r="R72">
        <f t="shared" ref="R72" si="104">MOD(R69+R71+AV71, 2)</f>
        <v>0</v>
      </c>
      <c r="S72">
        <f t="shared" ref="S72" si="105">MOD(S69+S71+AW71, 2)</f>
        <v>0</v>
      </c>
      <c r="T72">
        <f>MOD(T69+T71+AY71, 2)</f>
        <v>0</v>
      </c>
      <c r="U72" t="s">
        <v>36</v>
      </c>
      <c r="V72">
        <f t="shared" ref="V72" si="106">MOD(V69+V71+AZ71, 2)</f>
        <v>1</v>
      </c>
      <c r="W72">
        <f t="shared" ref="W72" si="107">MOD(W69+W71+BA71, 2)</f>
        <v>0</v>
      </c>
      <c r="X72">
        <f>MOD(X69+X71+BB71, 2)</f>
        <v>1</v>
      </c>
      <c r="Y72">
        <f>MOD(Y69+Y71+BC71, 2)</f>
        <v>0</v>
      </c>
      <c r="AI72" s="4"/>
    </row>
    <row r="73" spans="4:54" x14ac:dyDescent="0.3">
      <c r="E73" t="str">
        <f>IF(G69=1, "(прям.код)", "")</f>
        <v/>
      </c>
      <c r="G73" t="str">
        <f>IF(G69=1,G72, "")</f>
        <v/>
      </c>
      <c r="H73" t="str">
        <f>IF(G69=1, IF(H72=0, 1, 0), "")</f>
        <v/>
      </c>
      <c r="I73" t="str">
        <f>IF(G69=1, IF(I72=0, 1, 0),"")</f>
        <v/>
      </c>
      <c r="J73" t="str">
        <f>IF(G69=1, IF(J72=0, 1, 0),"")</f>
        <v/>
      </c>
      <c r="K73" t="str">
        <f>IF(G69=1, ".","")</f>
        <v/>
      </c>
      <c r="L73" t="str">
        <f>IF(G69=1, IF(L72=0, 1, 0),"")</f>
        <v/>
      </c>
      <c r="M73" t="str">
        <f>IF(G69=1, IF(M72=0, 1, 0),"")</f>
        <v/>
      </c>
      <c r="N73" t="str">
        <f>IF(G69=1, IF(N72=0, 1, 0),"")</f>
        <v/>
      </c>
      <c r="O73" t="str">
        <f>IF(G69=1, IF(O72=0, 1, 0),"")</f>
        <v/>
      </c>
      <c r="P73" t="str">
        <f>IF(G69=1, ".","")</f>
        <v/>
      </c>
      <c r="Q73" t="str">
        <f>IF(G69=1, IF(Q72=0, 1, 0), "")</f>
        <v/>
      </c>
      <c r="R73" t="str">
        <f>IF(G69=1, IF(R72=0, 1, 0), "")</f>
        <v/>
      </c>
      <c r="S73" t="str">
        <f>IF(G69=1, IF(S72=0, 1, 0), "")</f>
        <v/>
      </c>
      <c r="T73" t="str">
        <f>IF(G69=1, IF(T72=0, 1, 0),"")</f>
        <v/>
      </c>
      <c r="U73" t="str">
        <f>IF(G69=1, ".","")</f>
        <v/>
      </c>
      <c r="V73" t="str">
        <f>IF(G69=1, IF(V72=0, 1, 0),"")</f>
        <v/>
      </c>
      <c r="W73" t="str">
        <f>IF(G69=1, IF(W72=0, 1, 0),"")</f>
        <v/>
      </c>
      <c r="X73" t="str">
        <f>IF(G69=1, IF(X72=0, 1, 0),"")</f>
        <v/>
      </c>
      <c r="Y73" t="str">
        <f>IF(G69=1, IF(Y72=0, 1, 0),"")</f>
        <v/>
      </c>
      <c r="Z73" s="2" t="str">
        <f>IF(G69=1, "(2)","")</f>
        <v/>
      </c>
      <c r="AA73" s="1" t="str">
        <f>IF(G69=1, "=","")</f>
        <v/>
      </c>
      <c r="AB73" s="1" t="str">
        <f>IF(G69=1, SUM(AK73:BB73)*AJ73,"")</f>
        <v/>
      </c>
      <c r="AC73" s="2" t="str">
        <f>IF(G69=1, "(10)","")</f>
        <v/>
      </c>
      <c r="AH73" s="11"/>
      <c r="AI73" s="7" t="str">
        <f>IF(AD69="!=", "Для получения верного результата","")</f>
        <v>Для получения верного результата</v>
      </c>
      <c r="AJ73">
        <f>IF(G73=0, 1, -1)</f>
        <v>-1</v>
      </c>
      <c r="AK73" t="e">
        <f>H73*16384</f>
        <v>#VALUE!</v>
      </c>
      <c r="AL73" t="e">
        <f>I73*8192</f>
        <v>#VALUE!</v>
      </c>
      <c r="AM73" t="e">
        <f>J73*4096</f>
        <v>#VALUE!</v>
      </c>
      <c r="AO73" t="e">
        <f>L73*2048</f>
        <v>#VALUE!</v>
      </c>
      <c r="AP73" t="e">
        <f>M73*1024</f>
        <v>#VALUE!</v>
      </c>
      <c r="AQ73" t="e">
        <f>N73*512</f>
        <v>#VALUE!</v>
      </c>
      <c r="AR73" t="e">
        <f>O73*256</f>
        <v>#VALUE!</v>
      </c>
      <c r="AT73" t="e">
        <f>Q73*128</f>
        <v>#VALUE!</v>
      </c>
      <c r="AU73" t="e">
        <f>R73*64</f>
        <v>#VALUE!</v>
      </c>
      <c r="AV73" t="e">
        <f>S73*32</f>
        <v>#VALUE!</v>
      </c>
      <c r="AW73" t="e">
        <f>T73*16</f>
        <v>#VALUE!</v>
      </c>
      <c r="AY73" t="e">
        <f>V73*8</f>
        <v>#VALUE!</v>
      </c>
      <c r="AZ73" t="e">
        <f>W73*4</f>
        <v>#VALUE!</v>
      </c>
      <c r="BA73" t="e">
        <f>X73*2</f>
        <v>#VALUE!</v>
      </c>
      <c r="BB73" t="str">
        <f>Y73</f>
        <v/>
      </c>
    </row>
    <row r="74" spans="4:54" x14ac:dyDescent="0.3">
      <c r="AB74" s="1" t="str">
        <f>IF(AF76=1, "+/-65536","")</f>
        <v>+/-65536</v>
      </c>
      <c r="AH74" s="11"/>
      <c r="AI74" s="7" t="str">
        <f>IF(G69=1, IF(AF76=1, "нужно перевести число в прямой код, а также", "нужно перевести число в прямой код"),"")</f>
        <v/>
      </c>
    </row>
    <row r="75" spans="4:54" x14ac:dyDescent="0.3">
      <c r="AA75" s="1" t="str">
        <f>IF(G69=1, "=","")</f>
        <v/>
      </c>
      <c r="AB75">
        <f>IF(AF76=1, IF(G69=1, AB73+AJ75, AB69+AJ75),"")</f>
        <v>-48757</v>
      </c>
      <c r="AC75" s="2" t="str">
        <f>IF(AF76=1, "(10)","")</f>
        <v>(10)</v>
      </c>
      <c r="AD75" s="1"/>
      <c r="AG75" s="3"/>
      <c r="AH75" s="13"/>
      <c r="AI75" s="7" t="str">
        <f>IF(AF76=1, "нужно учесть флаг OF и прибавить к/вычесть из","")</f>
        <v>нужно учесть флаг OF и прибавить к/вычесть из</v>
      </c>
      <c r="AJ75">
        <f>IF(AB73&lt;0, 65536, -65536)</f>
        <v>-65536</v>
      </c>
    </row>
    <row r="76" spans="4:54" x14ac:dyDescent="0.3">
      <c r="G76" t="s">
        <v>52</v>
      </c>
      <c r="J76">
        <f>AJ68</f>
        <v>1</v>
      </c>
      <c r="L76" t="s">
        <v>53</v>
      </c>
      <c r="O76">
        <f>MOD(SUM(V69:Y69,Q69:T69, 1), 2)</f>
        <v>1</v>
      </c>
      <c r="Q76" t="s">
        <v>58</v>
      </c>
      <c r="T76">
        <f>AY68</f>
        <v>0</v>
      </c>
      <c r="V76" t="s">
        <v>59</v>
      </c>
      <c r="Y76">
        <f>IF(AB69=0, 1, 0)</f>
        <v>0</v>
      </c>
      <c r="AB76" t="s">
        <v>60</v>
      </c>
      <c r="AC76">
        <f>G69</f>
        <v>0</v>
      </c>
      <c r="AE76" t="s">
        <v>61</v>
      </c>
      <c r="AF76">
        <f>IF(AJ68=AK68, 0, 1)</f>
        <v>1</v>
      </c>
      <c r="AH76" s="11"/>
      <c r="AI76" s="7" t="str">
        <f>IF(AF76=1, "результату 65536 (2^16)","")</f>
        <v>результату 65536 (2^16)</v>
      </c>
    </row>
    <row r="77" spans="4:54" x14ac:dyDescent="0.3"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</row>
    <row r="78" spans="4:54" x14ac:dyDescent="0.3">
      <c r="E78" t="s">
        <v>43</v>
      </c>
      <c r="G78">
        <f>G4</f>
        <v>0</v>
      </c>
      <c r="H78">
        <f t="shared" ref="H78:Y78" si="108">H4</f>
        <v>0</v>
      </c>
      <c r="I78">
        <f t="shared" si="108"/>
        <v>0</v>
      </c>
      <c r="J78">
        <f t="shared" si="108"/>
        <v>1</v>
      </c>
      <c r="K78" t="str">
        <f t="shared" si="108"/>
        <v>.</v>
      </c>
      <c r="L78">
        <f t="shared" si="108"/>
        <v>1</v>
      </c>
      <c r="M78">
        <f t="shared" si="108"/>
        <v>0</v>
      </c>
      <c r="N78">
        <f t="shared" si="108"/>
        <v>0</v>
      </c>
      <c r="O78">
        <f t="shared" si="108"/>
        <v>0</v>
      </c>
      <c r="P78" t="str">
        <f t="shared" si="108"/>
        <v>.</v>
      </c>
      <c r="Q78">
        <f t="shared" si="108"/>
        <v>1</v>
      </c>
      <c r="R78">
        <f t="shared" si="108"/>
        <v>0</v>
      </c>
      <c r="S78">
        <f t="shared" si="108"/>
        <v>1</v>
      </c>
      <c r="T78">
        <f t="shared" si="108"/>
        <v>0</v>
      </c>
      <c r="U78" t="str">
        <f t="shared" si="108"/>
        <v>.</v>
      </c>
      <c r="V78">
        <f t="shared" si="108"/>
        <v>0</v>
      </c>
      <c r="W78">
        <f t="shared" si="108"/>
        <v>0</v>
      </c>
      <c r="X78">
        <f t="shared" si="108"/>
        <v>0</v>
      </c>
      <c r="Y78">
        <f t="shared" si="108"/>
        <v>1</v>
      </c>
      <c r="AD78" s="8"/>
      <c r="AE78" t="s">
        <v>54</v>
      </c>
      <c r="AG78">
        <f>C4</f>
        <v>6305</v>
      </c>
      <c r="AH78" s="11"/>
      <c r="AI78" s="4" t="str">
        <f>IF(G78=G79, IF(G78=0, "При сложении двух положительных", "При сложении двух отрицательных"), "При сложении положительного и отрицательного")</f>
        <v>При сложении положительного и отрицательного</v>
      </c>
    </row>
    <row r="79" spans="4:54" x14ac:dyDescent="0.3">
      <c r="D79" s="1" t="s">
        <v>44</v>
      </c>
      <c r="E79" s="1" t="s">
        <v>68</v>
      </c>
      <c r="G79">
        <f>G11</f>
        <v>1</v>
      </c>
      <c r="H79">
        <f t="shared" ref="H79:Y79" si="109">H11</f>
        <v>0</v>
      </c>
      <c r="I79">
        <f t="shared" si="109"/>
        <v>1</v>
      </c>
      <c r="J79">
        <f t="shared" si="109"/>
        <v>0</v>
      </c>
      <c r="K79" t="str">
        <f t="shared" si="109"/>
        <v>.</v>
      </c>
      <c r="L79">
        <f t="shared" si="109"/>
        <v>1</v>
      </c>
      <c r="M79">
        <f t="shared" si="109"/>
        <v>1</v>
      </c>
      <c r="N79">
        <f t="shared" si="109"/>
        <v>0</v>
      </c>
      <c r="O79">
        <f t="shared" si="109"/>
        <v>1</v>
      </c>
      <c r="P79" t="str">
        <f t="shared" si="109"/>
        <v>.</v>
      </c>
      <c r="Q79">
        <f t="shared" si="109"/>
        <v>0</v>
      </c>
      <c r="R79">
        <f t="shared" si="109"/>
        <v>0</v>
      </c>
      <c r="S79">
        <f t="shared" si="109"/>
        <v>0</v>
      </c>
      <c r="T79">
        <f t="shared" si="109"/>
        <v>1</v>
      </c>
      <c r="U79" t="str">
        <f t="shared" si="109"/>
        <v>.</v>
      </c>
      <c r="V79">
        <f t="shared" si="109"/>
        <v>0</v>
      </c>
      <c r="W79">
        <f t="shared" si="109"/>
        <v>1</v>
      </c>
      <c r="X79">
        <f t="shared" si="109"/>
        <v>1</v>
      </c>
      <c r="Y79">
        <f t="shared" si="109"/>
        <v>1</v>
      </c>
      <c r="AD79" s="9" t="s">
        <v>44</v>
      </c>
      <c r="AE79" t="s">
        <v>69</v>
      </c>
      <c r="AG79">
        <f>C11</f>
        <v>-21226</v>
      </c>
      <c r="AH79" s="11"/>
      <c r="AI79" s="4" t="str">
        <f>IF(G81=0,"чисел получилось положительное число.", "чисел получилось отрицательное число")</f>
        <v>чисел получилось отрицательное число</v>
      </c>
    </row>
    <row r="80" spans="4:54" x14ac:dyDescent="0.3">
      <c r="E80" s="1" t="s">
        <v>48</v>
      </c>
      <c r="F80" s="1" t="s">
        <v>47</v>
      </c>
      <c r="G80" s="1" t="s">
        <v>46</v>
      </c>
      <c r="H80" s="1" t="s">
        <v>46</v>
      </c>
      <c r="I80" s="1" t="s">
        <v>46</v>
      </c>
      <c r="J80" s="1" t="s">
        <v>46</v>
      </c>
      <c r="K80" s="1" t="s">
        <v>46</v>
      </c>
      <c r="L80" s="1" t="s">
        <v>46</v>
      </c>
      <c r="M80" s="1" t="s">
        <v>46</v>
      </c>
      <c r="N80" s="1" t="s">
        <v>46</v>
      </c>
      <c r="O80" s="1" t="s">
        <v>46</v>
      </c>
      <c r="P80" s="1" t="s">
        <v>46</v>
      </c>
      <c r="Q80" s="1" t="s">
        <v>46</v>
      </c>
      <c r="R80" s="1" t="s">
        <v>46</v>
      </c>
      <c r="S80" s="1" t="s">
        <v>46</v>
      </c>
      <c r="T80" s="1" t="s">
        <v>46</v>
      </c>
      <c r="U80" s="1" t="s">
        <v>46</v>
      </c>
      <c r="V80" s="1" t="s">
        <v>46</v>
      </c>
      <c r="W80" s="1" t="s">
        <v>46</v>
      </c>
      <c r="X80" s="1" t="s">
        <v>46</v>
      </c>
      <c r="Y80" s="1" t="s">
        <v>46</v>
      </c>
      <c r="Z80" s="1"/>
      <c r="AA80" s="1"/>
      <c r="AB80" s="1"/>
      <c r="AC80" s="1"/>
      <c r="AD80" s="8"/>
      <c r="AE80" s="1" t="s">
        <v>57</v>
      </c>
      <c r="AF80" s="1" t="s">
        <v>57</v>
      </c>
      <c r="AG80" s="1" t="s">
        <v>56</v>
      </c>
      <c r="AH80" s="12"/>
      <c r="AI80" s="5" t="str">
        <f>IF(AB81=AG81, "Результат верный и совпадает с", "Результат НЕ верный и НЕ совпадает с")</f>
        <v>Результат НЕ верный и НЕ совпадает с</v>
      </c>
      <c r="AJ80">
        <f>QUOTIENT(G78+G79+AK80, 2)</f>
        <v>0</v>
      </c>
      <c r="AK80">
        <f>QUOTIENT(H78+H79+AL80, 2)</f>
        <v>0</v>
      </c>
      <c r="AL80">
        <f>QUOTIENT(I78+I79+AM80, 2)</f>
        <v>1</v>
      </c>
      <c r="AM80">
        <f>QUOTIENT(J78+J79+AO80, 2)</f>
        <v>1</v>
      </c>
      <c r="AN80" t="s">
        <v>36</v>
      </c>
      <c r="AO80">
        <f>QUOTIENT(L78+L79+AP80, 2)</f>
        <v>1</v>
      </c>
      <c r="AP80">
        <f>QUOTIENT(M78+M79+AQ80, 2)</f>
        <v>0</v>
      </c>
      <c r="AQ80">
        <f>QUOTIENT(N78+N79+AR80, 2)</f>
        <v>0</v>
      </c>
      <c r="AR80">
        <f>QUOTIENT(O78+O79+AT80, 2)</f>
        <v>0</v>
      </c>
      <c r="AS80" t="s">
        <v>36</v>
      </c>
      <c r="AT80">
        <f>QUOTIENT(Q78+Q79+AU80, 2)</f>
        <v>0</v>
      </c>
      <c r="AU80">
        <f>QUOTIENT(R78+R79+AV80, 2)</f>
        <v>0</v>
      </c>
      <c r="AV80">
        <f>QUOTIENT(S78+S79+AW80, 2)</f>
        <v>0</v>
      </c>
      <c r="AW80">
        <f>QUOTIENT(T78+T79+AY80, 2)</f>
        <v>0</v>
      </c>
      <c r="AX80" t="s">
        <v>36</v>
      </c>
      <c r="AY80">
        <f>QUOTIENT(V78+V79+AZ80, 2)</f>
        <v>0</v>
      </c>
      <c r="AZ80">
        <f>QUOTIENT(W78+W79+BA80, 2)</f>
        <v>1</v>
      </c>
      <c r="BA80">
        <f>QUOTIENT(X78+X79+BB80, 2)</f>
        <v>1</v>
      </c>
      <c r="BB80">
        <f>QUOTIENT(Y78+Y79, 2)</f>
        <v>1</v>
      </c>
    </row>
    <row r="81" spans="4:54" x14ac:dyDescent="0.3">
      <c r="E81" t="str">
        <f>IF(G81=1, "(доп. код)", "")</f>
        <v>(доп. код)</v>
      </c>
      <c r="G81">
        <f>MOD(G78+G79+AK80, 2)</f>
        <v>1</v>
      </c>
      <c r="H81">
        <f>MOD(H78+H79+AL80, 2)</f>
        <v>1</v>
      </c>
      <c r="I81">
        <f>MOD(I78+I79+AM80, 2)</f>
        <v>0</v>
      </c>
      <c r="J81">
        <f>MOD(J78+J79+AO80, 2)</f>
        <v>0</v>
      </c>
      <c r="K81" t="s">
        <v>36</v>
      </c>
      <c r="L81">
        <f>MOD(L78+L79+AP80, 2)</f>
        <v>0</v>
      </c>
      <c r="M81">
        <f>MOD(M78+M79+AQ80, 2)</f>
        <v>1</v>
      </c>
      <c r="N81">
        <f>MOD(N78+N79+AR80, 2)</f>
        <v>0</v>
      </c>
      <c r="O81">
        <f>MOD(O78+O79+AT80, 2)</f>
        <v>1</v>
      </c>
      <c r="P81" t="s">
        <v>36</v>
      </c>
      <c r="Q81">
        <f>MOD(Q78+Q79+AU80, 2)</f>
        <v>1</v>
      </c>
      <c r="R81">
        <f>MOD(R78+R79+AV80, 2)</f>
        <v>0</v>
      </c>
      <c r="S81">
        <f>MOD(S78+S79+AW80, 2)</f>
        <v>1</v>
      </c>
      <c r="T81">
        <f>MOD(T78+T79+AY80, 2)</f>
        <v>1</v>
      </c>
      <c r="U81" t="s">
        <v>36</v>
      </c>
      <c r="V81">
        <f>MOD(V78+V79+AZ80, 2)</f>
        <v>1</v>
      </c>
      <c r="W81">
        <f>MOD(W78+W79+BA80, 2)</f>
        <v>0</v>
      </c>
      <c r="X81">
        <f>MOD(X78+X79+BB80, 2)</f>
        <v>0</v>
      </c>
      <c r="Y81">
        <f>MOD(Y78+Y79, 2)</f>
        <v>0</v>
      </c>
      <c r="Z81" s="2" t="s">
        <v>49</v>
      </c>
      <c r="AA81" s="1" t="s">
        <v>50</v>
      </c>
      <c r="AB81" s="1">
        <f>SUM(AK81:BB81)*AJ81</f>
        <v>-17848</v>
      </c>
      <c r="AC81" s="2" t="s">
        <v>51</v>
      </c>
      <c r="AD81" s="10" t="str">
        <f>IF(AB81=AG81, "=", "!=")</f>
        <v>!=</v>
      </c>
      <c r="AE81" s="2"/>
      <c r="AF81" s="2"/>
      <c r="AG81" s="3">
        <f>AG78+AG79</f>
        <v>-14921</v>
      </c>
      <c r="AH81" s="13" t="s">
        <v>51</v>
      </c>
      <c r="AI81" s="6" t="s">
        <v>62</v>
      </c>
      <c r="AJ81">
        <f>IF(G81=0, 1, -1)</f>
        <v>-1</v>
      </c>
      <c r="AK81">
        <f>H81*16384</f>
        <v>16384</v>
      </c>
      <c r="AL81">
        <f>I81*8192</f>
        <v>0</v>
      </c>
      <c r="AM81">
        <f>J81*4096</f>
        <v>0</v>
      </c>
      <c r="AO81">
        <f>L81*2048</f>
        <v>0</v>
      </c>
      <c r="AP81">
        <f>M81*1024</f>
        <v>1024</v>
      </c>
      <c r="AQ81">
        <f>N81*512</f>
        <v>0</v>
      </c>
      <c r="AR81">
        <f>O81*256</f>
        <v>256</v>
      </c>
      <c r="AT81">
        <f>Q81*128</f>
        <v>128</v>
      </c>
      <c r="AU81">
        <f>R81*64</f>
        <v>0</v>
      </c>
      <c r="AV81">
        <f>S81*32</f>
        <v>32</v>
      </c>
      <c r="AW81">
        <f>T81*16</f>
        <v>16</v>
      </c>
      <c r="AY81">
        <f>V81*8</f>
        <v>8</v>
      </c>
      <c r="AZ81">
        <f>W81*4</f>
        <v>0</v>
      </c>
      <c r="BA81">
        <f>X81*2</f>
        <v>0</v>
      </c>
      <c r="BB81">
        <f>Y81</f>
        <v>0</v>
      </c>
    </row>
    <row r="82" spans="4:54" x14ac:dyDescent="0.3">
      <c r="AH82" s="11"/>
      <c r="AI82" s="4" t="s">
        <v>63</v>
      </c>
    </row>
    <row r="83" spans="4:54" hidden="1" x14ac:dyDescent="0.3">
      <c r="G83">
        <v>1</v>
      </c>
      <c r="H83">
        <v>1</v>
      </c>
      <c r="I83">
        <v>1</v>
      </c>
      <c r="J83">
        <v>1</v>
      </c>
      <c r="K83" t="s">
        <v>36</v>
      </c>
      <c r="L83">
        <v>1</v>
      </c>
      <c r="M83">
        <v>1</v>
      </c>
      <c r="N83">
        <v>1</v>
      </c>
      <c r="O83">
        <v>1</v>
      </c>
      <c r="P83" t="s">
        <v>36</v>
      </c>
      <c r="Q83">
        <v>1</v>
      </c>
      <c r="R83">
        <v>1</v>
      </c>
      <c r="S83">
        <v>1</v>
      </c>
      <c r="T83">
        <v>1</v>
      </c>
      <c r="U83" t="s">
        <v>36</v>
      </c>
      <c r="V83">
        <v>1</v>
      </c>
      <c r="W83">
        <v>1</v>
      </c>
      <c r="X83">
        <v>1</v>
      </c>
      <c r="Y83">
        <v>1</v>
      </c>
      <c r="AI83" s="4"/>
      <c r="AJ83">
        <f>QUOTIENT(G81+G83+AK83, 2)</f>
        <v>1</v>
      </c>
      <c r="AK83">
        <f>QUOTIENT(H81+H83+AL83, 2)</f>
        <v>1</v>
      </c>
      <c r="AL83">
        <f>QUOTIENT(I81+I83+AM83, 2)</f>
        <v>1</v>
      </c>
      <c r="AM83">
        <f>QUOTIENT(J81+J83+AO83, 2)</f>
        <v>1</v>
      </c>
      <c r="AN83" t="s">
        <v>36</v>
      </c>
      <c r="AO83">
        <f>QUOTIENT(L81+L83+AP83, 2)</f>
        <v>1</v>
      </c>
      <c r="AP83">
        <f>QUOTIENT(M81+M83+AQ83, 2)</f>
        <v>1</v>
      </c>
      <c r="AQ83">
        <f>QUOTIENT(N81+N83+AR83, 2)</f>
        <v>1</v>
      </c>
      <c r="AR83">
        <f>QUOTIENT(O81+O83+AT83, 2)</f>
        <v>1</v>
      </c>
      <c r="AS83" t="s">
        <v>36</v>
      </c>
      <c r="AT83">
        <f>QUOTIENT(Q81+Q83+AU83, 2)</f>
        <v>1</v>
      </c>
      <c r="AU83">
        <f>QUOTIENT(R81+R83+AV83, 2)</f>
        <v>1</v>
      </c>
      <c r="AV83">
        <f>QUOTIENT(S81+S83+AW83, 2)</f>
        <v>1</v>
      </c>
      <c r="AW83">
        <f>QUOTIENT(T81+T83+AY83, 2)</f>
        <v>1</v>
      </c>
      <c r="AX83" t="s">
        <v>36</v>
      </c>
      <c r="AY83">
        <f>QUOTIENT(V81+V83+AZ83, 2)</f>
        <v>1</v>
      </c>
      <c r="AZ83">
        <f>QUOTIENT(W81+W83+BA83, 2)</f>
        <v>0</v>
      </c>
      <c r="BA83">
        <f>QUOTIENT(X81+X83+BB83, 2)</f>
        <v>0</v>
      </c>
      <c r="BB83">
        <f>QUOTIENT(Y81+Y83, 2)</f>
        <v>0</v>
      </c>
    </row>
    <row r="84" spans="4:54" hidden="1" x14ac:dyDescent="0.3">
      <c r="G84">
        <f t="shared" ref="G84" si="110">MOD(G81+G83+AK83, 2)</f>
        <v>1</v>
      </c>
      <c r="H84">
        <f t="shared" ref="H84" si="111">MOD(H81+H83+AL83, 2)</f>
        <v>1</v>
      </c>
      <c r="I84">
        <f t="shared" ref="I84" si="112">MOD(I81+I83+AM83, 2)</f>
        <v>0</v>
      </c>
      <c r="J84">
        <f>MOD(J81+J83+AO83, 2)</f>
        <v>0</v>
      </c>
      <c r="K84" t="s">
        <v>36</v>
      </c>
      <c r="L84">
        <f t="shared" ref="L84" si="113">MOD(L81+L83+AP83, 2)</f>
        <v>0</v>
      </c>
      <c r="M84">
        <f t="shared" ref="M84" si="114">MOD(M81+M83+AQ83, 2)</f>
        <v>1</v>
      </c>
      <c r="N84">
        <f t="shared" ref="N84" si="115">MOD(N81+N83+AR83, 2)</f>
        <v>0</v>
      </c>
      <c r="O84">
        <f>MOD(O81+O83+AT83, 2)</f>
        <v>1</v>
      </c>
      <c r="P84" t="s">
        <v>36</v>
      </c>
      <c r="Q84">
        <f t="shared" ref="Q84" si="116">MOD(Q81+Q83+AU83, 2)</f>
        <v>1</v>
      </c>
      <c r="R84">
        <f t="shared" ref="R84" si="117">MOD(R81+R83+AV83, 2)</f>
        <v>0</v>
      </c>
      <c r="S84">
        <f t="shared" ref="S84" si="118">MOD(S81+S83+AW83, 2)</f>
        <v>1</v>
      </c>
      <c r="T84">
        <f>MOD(T81+T83+AY83, 2)</f>
        <v>1</v>
      </c>
      <c r="U84" t="s">
        <v>36</v>
      </c>
      <c r="V84">
        <f t="shared" ref="V84" si="119">MOD(V81+V83+AZ83, 2)</f>
        <v>0</v>
      </c>
      <c r="W84">
        <f t="shared" ref="W84" si="120">MOD(W81+W83+BA83, 2)</f>
        <v>1</v>
      </c>
      <c r="X84">
        <f>MOD(X81+X83+BB83, 2)</f>
        <v>1</v>
      </c>
      <c r="Y84">
        <f>MOD(Y81+Y83+BC83, 2)</f>
        <v>1</v>
      </c>
      <c r="AI84" s="4"/>
    </row>
    <row r="85" spans="4:54" x14ac:dyDescent="0.3">
      <c r="E85" t="str">
        <f>IF(G81=1, "(прям.код)", "")</f>
        <v>(прям.код)</v>
      </c>
      <c r="G85">
        <f>IF(G81=1,G84, "")</f>
        <v>1</v>
      </c>
      <c r="H85">
        <f>IF(G81=1, IF(H84=0, 1, 0), "")</f>
        <v>0</v>
      </c>
      <c r="I85">
        <f>IF(G81=1, IF(I84=0, 1, 0),"")</f>
        <v>1</v>
      </c>
      <c r="J85">
        <f>IF(G81=1, IF(J84=0, 1, 0),"")</f>
        <v>1</v>
      </c>
      <c r="K85" t="str">
        <f>IF(G81=1, ".","")</f>
        <v>.</v>
      </c>
      <c r="L85">
        <f>IF(G81=1, IF(L84=0, 1, 0),"")</f>
        <v>1</v>
      </c>
      <c r="M85">
        <f>IF(G81=1, IF(M84=0, 1, 0),"")</f>
        <v>0</v>
      </c>
      <c r="N85">
        <f>IF(G81=1, IF(N84=0, 1, 0),"")</f>
        <v>1</v>
      </c>
      <c r="O85">
        <f>IF(G81=1, IF(O84=0, 1, 0),"")</f>
        <v>0</v>
      </c>
      <c r="P85" t="str">
        <f>IF(G81=1, ".","")</f>
        <v>.</v>
      </c>
      <c r="Q85">
        <f>IF(G81=1, IF(Q84=0, 1, 0), "")</f>
        <v>0</v>
      </c>
      <c r="R85">
        <f>IF(G81=1, IF(R84=0, 1, 0), "")</f>
        <v>1</v>
      </c>
      <c r="S85">
        <f>IF(G81=1, IF(S84=0, 1, 0), "")</f>
        <v>0</v>
      </c>
      <c r="T85">
        <f>IF(G81=1, IF(T84=0, 1, 0),"")</f>
        <v>0</v>
      </c>
      <c r="U85" t="str">
        <f>IF(G81=1, ".","")</f>
        <v>.</v>
      </c>
      <c r="V85">
        <f>IF(G81=1, IF(V84=0, 1, 0),"")</f>
        <v>1</v>
      </c>
      <c r="W85">
        <f>IF(G81=1, IF(W84=0, 1, 0),"")</f>
        <v>0</v>
      </c>
      <c r="X85">
        <f>IF(G81=1, IF(X84=0, 1, 0),"")</f>
        <v>0</v>
      </c>
      <c r="Y85">
        <f>IF(G81=1, IF(Y84=0, 1, 0),"")</f>
        <v>0</v>
      </c>
      <c r="Z85" s="2" t="str">
        <f>IF(G81=1, "(2)","")</f>
        <v>(2)</v>
      </c>
      <c r="AA85" s="1" t="str">
        <f>IF(G81=1, "=","")</f>
        <v>=</v>
      </c>
      <c r="AB85" s="1">
        <f>IF(G81=1, SUM(AK85:BB85)*AJ85,"")</f>
        <v>-14920</v>
      </c>
      <c r="AC85" s="2" t="str">
        <f>IF(G81=1, "(10)","")</f>
        <v>(10)</v>
      </c>
      <c r="AH85" s="11"/>
      <c r="AI85" s="7" t="str">
        <f>IF(AD81="!=", "Для получения верного результата","")</f>
        <v>Для получения верного результата</v>
      </c>
      <c r="AJ85">
        <f>IF(G85=0, 1, -1)</f>
        <v>-1</v>
      </c>
      <c r="AK85">
        <f>H85*16384</f>
        <v>0</v>
      </c>
      <c r="AL85">
        <f>I85*8192</f>
        <v>8192</v>
      </c>
      <c r="AM85">
        <f>J85*4096</f>
        <v>4096</v>
      </c>
      <c r="AO85">
        <f>L85*2048</f>
        <v>2048</v>
      </c>
      <c r="AP85">
        <f>M85*1024</f>
        <v>0</v>
      </c>
      <c r="AQ85">
        <f>N85*512</f>
        <v>512</v>
      </c>
      <c r="AR85">
        <f>O85*256</f>
        <v>0</v>
      </c>
      <c r="AT85">
        <f>Q85*128</f>
        <v>0</v>
      </c>
      <c r="AU85">
        <f>R85*64</f>
        <v>64</v>
      </c>
      <c r="AV85">
        <f>S85*32</f>
        <v>0</v>
      </c>
      <c r="AW85">
        <f>T85*16</f>
        <v>0</v>
      </c>
      <c r="AY85">
        <f>V85*8</f>
        <v>8</v>
      </c>
      <c r="AZ85">
        <f>W85*4</f>
        <v>0</v>
      </c>
      <c r="BA85">
        <f>X85*2</f>
        <v>0</v>
      </c>
      <c r="BB85">
        <f>Y85</f>
        <v>0</v>
      </c>
    </row>
    <row r="86" spans="4:54" x14ac:dyDescent="0.3">
      <c r="AB86" s="1" t="str">
        <f>IF(AF88=1, "+/-65536","")</f>
        <v/>
      </c>
      <c r="AH86" s="11"/>
      <c r="AI86" s="7" t="str">
        <f>IF(G81=1, IF(AF88=1, "нужно перевести число в прямой код, а также", "нужно перевести число в прямой код"),"")</f>
        <v>нужно перевести число в прямой код</v>
      </c>
    </row>
    <row r="87" spans="4:54" x14ac:dyDescent="0.3">
      <c r="AA87" s="1" t="str">
        <f>IF(G81=1, "=","")</f>
        <v>=</v>
      </c>
      <c r="AB87" t="str">
        <f>IF(AF88=1, IF(G81=1, AB85+AJ87, AB81+AJ87),"")</f>
        <v/>
      </c>
      <c r="AC87" s="2" t="str">
        <f>IF(AF88=1, "(10)","")</f>
        <v/>
      </c>
      <c r="AD87" s="1"/>
      <c r="AG87" s="3"/>
      <c r="AH87" s="13"/>
      <c r="AI87" s="7" t="str">
        <f>IF(AF88=1, "нужно учесть флаг OF и прибавить к/вычесть из","")</f>
        <v/>
      </c>
      <c r="AJ87">
        <f>IF(AB85&lt;0, 65536, -65536)</f>
        <v>65536</v>
      </c>
    </row>
    <row r="88" spans="4:54" x14ac:dyDescent="0.3">
      <c r="G88" t="s">
        <v>52</v>
      </c>
      <c r="J88">
        <f>AJ80</f>
        <v>0</v>
      </c>
      <c r="L88" t="s">
        <v>53</v>
      </c>
      <c r="O88">
        <f>MOD(SUM(V81:Y81,Q81:T81, 1), 2)</f>
        <v>1</v>
      </c>
      <c r="Q88" t="s">
        <v>58</v>
      </c>
      <c r="T88">
        <f>AY80</f>
        <v>0</v>
      </c>
      <c r="V88" t="s">
        <v>59</v>
      </c>
      <c r="Y88">
        <f>IF(AB81=0, 1, 0)</f>
        <v>0</v>
      </c>
      <c r="AB88" t="s">
        <v>60</v>
      </c>
      <c r="AC88">
        <f>G81</f>
        <v>1</v>
      </c>
      <c r="AE88" t="s">
        <v>61</v>
      </c>
      <c r="AF88">
        <f>IF(AJ80=AK80, 0, 1)</f>
        <v>0</v>
      </c>
      <c r="AH88" s="11"/>
      <c r="AI88" s="7" t="str">
        <f>IF(AF88=1, "результату 65536 (2^16)","")</f>
        <v/>
      </c>
    </row>
    <row r="89" spans="4:54" x14ac:dyDescent="0.3"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</row>
    <row r="90" spans="4:54" x14ac:dyDescent="0.3">
      <c r="E90" t="s">
        <v>72</v>
      </c>
      <c r="G90">
        <f>G14</f>
        <v>1</v>
      </c>
      <c r="H90">
        <f t="shared" ref="H90:Y90" si="121">H14</f>
        <v>1</v>
      </c>
      <c r="I90">
        <f t="shared" si="121"/>
        <v>0</v>
      </c>
      <c r="J90">
        <f t="shared" si="121"/>
        <v>0</v>
      </c>
      <c r="K90" t="str">
        <f t="shared" si="121"/>
        <v>.</v>
      </c>
      <c r="L90">
        <f t="shared" si="121"/>
        <v>0</v>
      </c>
      <c r="M90">
        <f t="shared" si="121"/>
        <v>1</v>
      </c>
      <c r="N90">
        <f t="shared" si="121"/>
        <v>0</v>
      </c>
      <c r="O90">
        <f t="shared" si="121"/>
        <v>1</v>
      </c>
      <c r="P90" t="str">
        <f t="shared" si="121"/>
        <v>.</v>
      </c>
      <c r="Q90">
        <f t="shared" si="121"/>
        <v>1</v>
      </c>
      <c r="R90">
        <f t="shared" si="121"/>
        <v>0</v>
      </c>
      <c r="S90">
        <f t="shared" si="121"/>
        <v>1</v>
      </c>
      <c r="T90">
        <f t="shared" si="121"/>
        <v>1</v>
      </c>
      <c r="U90" t="str">
        <f t="shared" si="121"/>
        <v>.</v>
      </c>
      <c r="V90">
        <f t="shared" si="121"/>
        <v>0</v>
      </c>
      <c r="W90">
        <f t="shared" si="121"/>
        <v>1</v>
      </c>
      <c r="X90">
        <f t="shared" si="121"/>
        <v>1</v>
      </c>
      <c r="Y90">
        <f t="shared" si="121"/>
        <v>0</v>
      </c>
      <c r="AD90" s="8"/>
      <c r="AE90" t="s">
        <v>73</v>
      </c>
      <c r="AG90">
        <f>C14</f>
        <v>-14921</v>
      </c>
      <c r="AH90" s="11"/>
      <c r="AI90" s="4" t="str">
        <f>IF(G90=G91, IF(G90=0, "При сложении двух положительных", "При сложении двух отрицательных"), "При сложении положительного и отрицательного")</f>
        <v>При сложении положительного и отрицательного</v>
      </c>
    </row>
    <row r="91" spans="4:54" x14ac:dyDescent="0.3">
      <c r="D91" s="1" t="s">
        <v>44</v>
      </c>
      <c r="E91" s="1" t="s">
        <v>64</v>
      </c>
      <c r="G91">
        <f>G6</f>
        <v>0</v>
      </c>
      <c r="H91">
        <f t="shared" ref="H91:Y91" si="122">H6</f>
        <v>1</v>
      </c>
      <c r="I91">
        <f t="shared" si="122"/>
        <v>1</v>
      </c>
      <c r="J91">
        <f t="shared" si="122"/>
        <v>0</v>
      </c>
      <c r="K91" t="str">
        <f t="shared" si="122"/>
        <v>.</v>
      </c>
      <c r="L91">
        <f t="shared" si="122"/>
        <v>1</v>
      </c>
      <c r="M91">
        <f t="shared" si="122"/>
        <v>0</v>
      </c>
      <c r="N91">
        <f t="shared" si="122"/>
        <v>1</v>
      </c>
      <c r="O91">
        <f t="shared" si="122"/>
        <v>1</v>
      </c>
      <c r="P91" t="str">
        <f t="shared" si="122"/>
        <v>.</v>
      </c>
      <c r="Q91">
        <f t="shared" si="122"/>
        <v>1</v>
      </c>
      <c r="R91">
        <f t="shared" si="122"/>
        <v>0</v>
      </c>
      <c r="S91">
        <f t="shared" si="122"/>
        <v>0</v>
      </c>
      <c r="T91">
        <f t="shared" si="122"/>
        <v>0</v>
      </c>
      <c r="U91" t="str">
        <f t="shared" si="122"/>
        <v>.</v>
      </c>
      <c r="V91">
        <f t="shared" si="122"/>
        <v>1</v>
      </c>
      <c r="W91">
        <f t="shared" si="122"/>
        <v>0</v>
      </c>
      <c r="X91">
        <f t="shared" si="122"/>
        <v>1</v>
      </c>
      <c r="Y91">
        <f t="shared" si="122"/>
        <v>1</v>
      </c>
      <c r="AD91" s="9" t="s">
        <v>44</v>
      </c>
      <c r="AE91" t="s">
        <v>65</v>
      </c>
      <c r="AG91">
        <f>C6</f>
        <v>27531</v>
      </c>
      <c r="AH91" s="11"/>
      <c r="AI91" s="4" t="str">
        <f>IF(G93=0,"чисел получилось положительное число.", "чисел получилось отрицательное число")</f>
        <v>чисел получилось положительное число.</v>
      </c>
    </row>
    <row r="92" spans="4:54" x14ac:dyDescent="0.3">
      <c r="E92" s="1" t="s">
        <v>48</v>
      </c>
      <c r="F92" s="1" t="s">
        <v>47</v>
      </c>
      <c r="G92" s="1" t="s">
        <v>46</v>
      </c>
      <c r="H92" s="1" t="s">
        <v>46</v>
      </c>
      <c r="I92" s="1" t="s">
        <v>46</v>
      </c>
      <c r="J92" s="1" t="s">
        <v>46</v>
      </c>
      <c r="K92" s="1" t="s">
        <v>46</v>
      </c>
      <c r="L92" s="1" t="s">
        <v>46</v>
      </c>
      <c r="M92" s="1" t="s">
        <v>46</v>
      </c>
      <c r="N92" s="1" t="s">
        <v>46</v>
      </c>
      <c r="O92" s="1" t="s">
        <v>46</v>
      </c>
      <c r="P92" s="1" t="s">
        <v>46</v>
      </c>
      <c r="Q92" s="1" t="s">
        <v>46</v>
      </c>
      <c r="R92" s="1" t="s">
        <v>46</v>
      </c>
      <c r="S92" s="1" t="s">
        <v>46</v>
      </c>
      <c r="T92" s="1" t="s">
        <v>46</v>
      </c>
      <c r="U92" s="1" t="s">
        <v>46</v>
      </c>
      <c r="V92" s="1" t="s">
        <v>46</v>
      </c>
      <c r="W92" s="1" t="s">
        <v>46</v>
      </c>
      <c r="X92" s="1" t="s">
        <v>46</v>
      </c>
      <c r="Y92" s="1" t="s">
        <v>46</v>
      </c>
      <c r="Z92" s="1"/>
      <c r="AA92" s="1"/>
      <c r="AB92" s="1"/>
      <c r="AC92" s="1"/>
      <c r="AD92" s="8"/>
      <c r="AE92" s="1" t="s">
        <v>57</v>
      </c>
      <c r="AF92" s="1" t="s">
        <v>57</v>
      </c>
      <c r="AG92" s="1" t="s">
        <v>56</v>
      </c>
      <c r="AH92" s="12"/>
      <c r="AI92" s="5" t="str">
        <f>IF(AB93=AG93, "Результат верный и совпадает с", "Результат НЕ верный и НЕ совпадает с")</f>
        <v>Результат НЕ верный и НЕ совпадает с</v>
      </c>
      <c r="AJ92">
        <f>QUOTIENT(G90+G91+AK92, 2)</f>
        <v>1</v>
      </c>
      <c r="AK92">
        <f>QUOTIENT(H90+H91+AL92, 2)</f>
        <v>1</v>
      </c>
      <c r="AL92">
        <f>QUOTIENT(I90+I91+AM92, 2)</f>
        <v>0</v>
      </c>
      <c r="AM92">
        <f>QUOTIENT(J90+J91+AO92, 2)</f>
        <v>0</v>
      </c>
      <c r="AN92" t="s">
        <v>36</v>
      </c>
      <c r="AO92">
        <f>QUOTIENT(L90+L91+AP92, 2)</f>
        <v>1</v>
      </c>
      <c r="AP92">
        <f>QUOTIENT(M90+M91+AQ92, 2)</f>
        <v>1</v>
      </c>
      <c r="AQ92">
        <f>QUOTIENT(N90+N91+AR92, 2)</f>
        <v>1</v>
      </c>
      <c r="AR92">
        <f>QUOTIENT(O90+O91+AT92, 2)</f>
        <v>1</v>
      </c>
      <c r="AS92" t="s">
        <v>36</v>
      </c>
      <c r="AT92">
        <f>QUOTIENT(Q90+Q91+AU92, 2)</f>
        <v>1</v>
      </c>
      <c r="AU92">
        <f>QUOTIENT(R90+R91+AV92, 2)</f>
        <v>0</v>
      </c>
      <c r="AV92">
        <f>QUOTIENT(S90+S91+AW92, 2)</f>
        <v>1</v>
      </c>
      <c r="AW92">
        <f>QUOTIENT(T90+T91+AY92, 2)</f>
        <v>1</v>
      </c>
      <c r="AX92" t="s">
        <v>36</v>
      </c>
      <c r="AY92">
        <f>QUOTIENT(V90+V91+AZ92, 2)</f>
        <v>1</v>
      </c>
      <c r="AZ92">
        <f>QUOTIENT(W90+W91+BA92, 2)</f>
        <v>1</v>
      </c>
      <c r="BA92">
        <f>QUOTIENT(X90+X91+BB92, 2)</f>
        <v>1</v>
      </c>
      <c r="BB92">
        <f>QUOTIENT(Y90+Y91, 2)</f>
        <v>0</v>
      </c>
    </row>
    <row r="93" spans="4:54" x14ac:dyDescent="0.3">
      <c r="E93" t="str">
        <f>IF(G93=1, "(доп. код)", "")</f>
        <v/>
      </c>
      <c r="G93">
        <f>MOD(G90+G91+AK92, 2)</f>
        <v>0</v>
      </c>
      <c r="H93">
        <f>MOD(H90+H91+AL92, 2)</f>
        <v>0</v>
      </c>
      <c r="I93">
        <f>MOD(I90+I91+AM92, 2)</f>
        <v>1</v>
      </c>
      <c r="J93">
        <f>MOD(J90+J91+AO92, 2)</f>
        <v>1</v>
      </c>
      <c r="K93" t="s">
        <v>36</v>
      </c>
      <c r="L93">
        <f>MOD(L90+L91+AP92, 2)</f>
        <v>0</v>
      </c>
      <c r="M93">
        <f>MOD(M90+M91+AQ92, 2)</f>
        <v>0</v>
      </c>
      <c r="N93">
        <f>MOD(N90+N91+AR92, 2)</f>
        <v>0</v>
      </c>
      <c r="O93">
        <f>MOD(O90+O91+AT92, 2)</f>
        <v>1</v>
      </c>
      <c r="P93" t="s">
        <v>36</v>
      </c>
      <c r="Q93">
        <f>MOD(Q90+Q91+AU92, 2)</f>
        <v>0</v>
      </c>
      <c r="R93">
        <f>MOD(R90+R91+AV92, 2)</f>
        <v>1</v>
      </c>
      <c r="S93">
        <f>MOD(S90+S91+AW92, 2)</f>
        <v>0</v>
      </c>
      <c r="T93">
        <f>MOD(T90+T91+AY92, 2)</f>
        <v>0</v>
      </c>
      <c r="U93" t="s">
        <v>36</v>
      </c>
      <c r="V93">
        <f>MOD(V90+V91+AZ92, 2)</f>
        <v>0</v>
      </c>
      <c r="W93">
        <f>MOD(W90+W91+BA92, 2)</f>
        <v>0</v>
      </c>
      <c r="X93">
        <f>MOD(X90+X91+BB92, 2)</f>
        <v>0</v>
      </c>
      <c r="Y93">
        <f>MOD(Y90+Y91, 2)</f>
        <v>1</v>
      </c>
      <c r="Z93" s="2" t="s">
        <v>49</v>
      </c>
      <c r="AA93" s="1" t="s">
        <v>50</v>
      </c>
      <c r="AB93" s="1">
        <f>SUM(AK93:BB93)*AJ93</f>
        <v>12609</v>
      </c>
      <c r="AC93" s="2" t="s">
        <v>51</v>
      </c>
      <c r="AD93" s="10" t="str">
        <f>IF(AB93=AG93, "=", "!=")</f>
        <v>!=</v>
      </c>
      <c r="AE93" s="2"/>
      <c r="AF93" s="2"/>
      <c r="AG93" s="3">
        <f>AG90+AG91</f>
        <v>12610</v>
      </c>
      <c r="AH93" s="13" t="s">
        <v>51</v>
      </c>
      <c r="AI93" s="6" t="s">
        <v>62</v>
      </c>
      <c r="AJ93">
        <f>IF(G93=0, 1, -1)</f>
        <v>1</v>
      </c>
      <c r="AK93">
        <f>H93*16384</f>
        <v>0</v>
      </c>
      <c r="AL93">
        <f>I93*8192</f>
        <v>8192</v>
      </c>
      <c r="AM93">
        <f>J93*4096</f>
        <v>4096</v>
      </c>
      <c r="AO93">
        <f>L93*2048</f>
        <v>0</v>
      </c>
      <c r="AP93">
        <f>M93*1024</f>
        <v>0</v>
      </c>
      <c r="AQ93">
        <f>N93*512</f>
        <v>0</v>
      </c>
      <c r="AR93">
        <f>O93*256</f>
        <v>256</v>
      </c>
      <c r="AT93">
        <f>Q93*128</f>
        <v>0</v>
      </c>
      <c r="AU93">
        <f>R93*64</f>
        <v>64</v>
      </c>
      <c r="AV93">
        <f>S93*32</f>
        <v>0</v>
      </c>
      <c r="AW93">
        <f>T93*16</f>
        <v>0</v>
      </c>
      <c r="AY93">
        <f>V93*8</f>
        <v>0</v>
      </c>
      <c r="AZ93">
        <f>W93*4</f>
        <v>0</v>
      </c>
      <c r="BA93">
        <f>X93*2</f>
        <v>0</v>
      </c>
      <c r="BB93">
        <f>Y93</f>
        <v>1</v>
      </c>
    </row>
    <row r="94" spans="4:54" x14ac:dyDescent="0.3">
      <c r="AH94" s="11"/>
      <c r="AI94" s="4" t="s">
        <v>63</v>
      </c>
    </row>
    <row r="95" spans="4:54" hidden="1" x14ac:dyDescent="0.3">
      <c r="G95">
        <v>1</v>
      </c>
      <c r="H95">
        <v>1</v>
      </c>
      <c r="I95">
        <v>1</v>
      </c>
      <c r="J95">
        <v>1</v>
      </c>
      <c r="K95" t="s">
        <v>36</v>
      </c>
      <c r="L95">
        <v>1</v>
      </c>
      <c r="M95">
        <v>1</v>
      </c>
      <c r="N95">
        <v>1</v>
      </c>
      <c r="O95">
        <v>1</v>
      </c>
      <c r="P95" t="s">
        <v>36</v>
      </c>
      <c r="Q95">
        <v>1</v>
      </c>
      <c r="R95">
        <v>1</v>
      </c>
      <c r="S95">
        <v>1</v>
      </c>
      <c r="T95">
        <v>1</v>
      </c>
      <c r="U95" t="s">
        <v>36</v>
      </c>
      <c r="V95">
        <v>1</v>
      </c>
      <c r="W95">
        <v>1</v>
      </c>
      <c r="X95">
        <v>1</v>
      </c>
      <c r="Y95">
        <v>1</v>
      </c>
      <c r="AI95" s="4"/>
      <c r="AJ95">
        <f>QUOTIENT(G93+G95+AK95, 2)</f>
        <v>1</v>
      </c>
      <c r="AK95">
        <f>QUOTIENT(H93+H95+AL95, 2)</f>
        <v>1</v>
      </c>
      <c r="AL95">
        <f>QUOTIENT(I93+I95+AM95, 2)</f>
        <v>1</v>
      </c>
      <c r="AM95">
        <f>QUOTIENT(J93+J95+AO95, 2)</f>
        <v>1</v>
      </c>
      <c r="AN95" t="s">
        <v>36</v>
      </c>
      <c r="AO95">
        <f>QUOTIENT(L93+L95+AP95, 2)</f>
        <v>1</v>
      </c>
      <c r="AP95">
        <f>QUOTIENT(M93+M95+AQ95, 2)</f>
        <v>1</v>
      </c>
      <c r="AQ95">
        <f>QUOTIENT(N93+N95+AR95, 2)</f>
        <v>1</v>
      </c>
      <c r="AR95">
        <f>QUOTIENT(O93+O95+AT95, 2)</f>
        <v>1</v>
      </c>
      <c r="AS95" t="s">
        <v>36</v>
      </c>
      <c r="AT95">
        <f>QUOTIENT(Q93+Q95+AU95, 2)</f>
        <v>1</v>
      </c>
      <c r="AU95">
        <f>QUOTIENT(R93+R95+AV95, 2)</f>
        <v>1</v>
      </c>
      <c r="AV95">
        <f>QUOTIENT(S93+S95+AW95, 2)</f>
        <v>1</v>
      </c>
      <c r="AW95">
        <f>QUOTIENT(T93+T95+AY95, 2)</f>
        <v>1</v>
      </c>
      <c r="AX95" t="s">
        <v>36</v>
      </c>
      <c r="AY95">
        <f>QUOTIENT(V93+V95+AZ95, 2)</f>
        <v>1</v>
      </c>
      <c r="AZ95">
        <f>QUOTIENT(W93+W95+BA95, 2)</f>
        <v>1</v>
      </c>
      <c r="BA95">
        <f>QUOTIENT(X93+X95+BB95, 2)</f>
        <v>1</v>
      </c>
      <c r="BB95">
        <f>QUOTIENT(Y93+Y95, 2)</f>
        <v>1</v>
      </c>
    </row>
    <row r="96" spans="4:54" hidden="1" x14ac:dyDescent="0.3">
      <c r="G96">
        <f t="shared" ref="G96" si="123">MOD(G93+G95+AK95, 2)</f>
        <v>0</v>
      </c>
      <c r="H96">
        <f t="shared" ref="H96" si="124">MOD(H93+H95+AL95, 2)</f>
        <v>0</v>
      </c>
      <c r="I96">
        <f t="shared" ref="I96" si="125">MOD(I93+I95+AM95, 2)</f>
        <v>1</v>
      </c>
      <c r="J96">
        <f>MOD(J93+J95+AO95, 2)</f>
        <v>1</v>
      </c>
      <c r="K96" t="s">
        <v>36</v>
      </c>
      <c r="L96">
        <f t="shared" ref="L96" si="126">MOD(L93+L95+AP95, 2)</f>
        <v>0</v>
      </c>
      <c r="M96">
        <f t="shared" ref="M96" si="127">MOD(M93+M95+AQ95, 2)</f>
        <v>0</v>
      </c>
      <c r="N96">
        <f t="shared" ref="N96" si="128">MOD(N93+N95+AR95, 2)</f>
        <v>0</v>
      </c>
      <c r="O96">
        <f>MOD(O93+O95+AT95, 2)</f>
        <v>1</v>
      </c>
      <c r="P96" t="s">
        <v>36</v>
      </c>
      <c r="Q96">
        <f t="shared" ref="Q96" si="129">MOD(Q93+Q95+AU95, 2)</f>
        <v>0</v>
      </c>
      <c r="R96">
        <f t="shared" ref="R96" si="130">MOD(R93+R95+AV95, 2)</f>
        <v>1</v>
      </c>
      <c r="S96">
        <f t="shared" ref="S96" si="131">MOD(S93+S95+AW95, 2)</f>
        <v>0</v>
      </c>
      <c r="T96">
        <f>MOD(T93+T95+AY95, 2)</f>
        <v>0</v>
      </c>
      <c r="U96" t="s">
        <v>36</v>
      </c>
      <c r="V96">
        <f t="shared" ref="V96" si="132">MOD(V93+V95+AZ95, 2)</f>
        <v>0</v>
      </c>
      <c r="W96">
        <f t="shared" ref="W96" si="133">MOD(W93+W95+BA95, 2)</f>
        <v>0</v>
      </c>
      <c r="X96">
        <f>MOD(X93+X95+BB95, 2)</f>
        <v>0</v>
      </c>
      <c r="Y96">
        <f>MOD(Y93+Y95+BC95, 2)</f>
        <v>0</v>
      </c>
      <c r="AI96" s="4"/>
    </row>
    <row r="97" spans="4:54" x14ac:dyDescent="0.3">
      <c r="E97" t="str">
        <f>IF(G93=1, "(прям.код)", "")</f>
        <v/>
      </c>
      <c r="G97" t="str">
        <f>IF(G93=1,G96, "")</f>
        <v/>
      </c>
      <c r="H97" t="str">
        <f>IF(G93=1, IF(H96=0, 1, 0), "")</f>
        <v/>
      </c>
      <c r="I97" t="str">
        <f>IF(G93=1, IF(I96=0, 1, 0),"")</f>
        <v/>
      </c>
      <c r="J97" t="str">
        <f>IF(G93=1, IF(J96=0, 1, 0),"")</f>
        <v/>
      </c>
      <c r="K97" t="str">
        <f>IF(G93=1, ".","")</f>
        <v/>
      </c>
      <c r="L97" t="str">
        <f>IF(G93=1, IF(L96=0, 1, 0),"")</f>
        <v/>
      </c>
      <c r="M97" t="str">
        <f>IF(G93=1, IF(M96=0, 1, 0),"")</f>
        <v/>
      </c>
      <c r="N97" t="str">
        <f>IF(G93=1, IF(N96=0, 1, 0),"")</f>
        <v/>
      </c>
      <c r="O97" t="str">
        <f>IF(G93=1, IF(O96=0, 1, 0),"")</f>
        <v/>
      </c>
      <c r="P97" t="str">
        <f>IF(G93=1, ".","")</f>
        <v/>
      </c>
      <c r="Q97" t="str">
        <f>IF(G93=1, IF(Q96=0, 1, 0), "")</f>
        <v/>
      </c>
      <c r="R97" t="str">
        <f>IF(G93=1, IF(R96=0, 1, 0), "")</f>
        <v/>
      </c>
      <c r="S97" t="str">
        <f>IF(G93=1, IF(S96=0, 1, 0), "")</f>
        <v/>
      </c>
      <c r="T97" t="str">
        <f>IF(G93=1, IF(T96=0, 1, 0),"")</f>
        <v/>
      </c>
      <c r="U97" t="str">
        <f>IF(G93=1, ".","")</f>
        <v/>
      </c>
      <c r="V97" t="str">
        <f>IF(G93=1, IF(V96=0, 1, 0),"")</f>
        <v/>
      </c>
      <c r="W97" t="str">
        <f>IF(G93=1, IF(W96=0, 1, 0),"")</f>
        <v/>
      </c>
      <c r="X97" t="str">
        <f>IF(G93=1, IF(X96=0, 1, 0),"")</f>
        <v/>
      </c>
      <c r="Y97" t="str">
        <f>IF(G93=1, IF(Y96=0, 1, 0),"")</f>
        <v/>
      </c>
      <c r="Z97" s="2" t="str">
        <f>IF(G93=1, "(2)","")</f>
        <v/>
      </c>
      <c r="AA97" s="1" t="str">
        <f>IF(G93=1, "=","")</f>
        <v/>
      </c>
      <c r="AB97" s="1" t="str">
        <f>IF(G93=1, SUM(AK97:BB97)*AJ97,"")</f>
        <v/>
      </c>
      <c r="AC97" s="2" t="str">
        <f>IF(G93=1, "(10)","")</f>
        <v/>
      </c>
      <c r="AH97" s="11"/>
      <c r="AI97" s="7" t="str">
        <f>IF(AD93="!=", "Для получения верного результата","")</f>
        <v>Для получения верного результата</v>
      </c>
      <c r="AJ97">
        <f>IF(G97=0, 1, -1)</f>
        <v>-1</v>
      </c>
      <c r="AK97" t="e">
        <f>H97*16384</f>
        <v>#VALUE!</v>
      </c>
      <c r="AL97" t="e">
        <f>I97*8192</f>
        <v>#VALUE!</v>
      </c>
      <c r="AM97" t="e">
        <f>J97*4096</f>
        <v>#VALUE!</v>
      </c>
      <c r="AO97" t="e">
        <f>L97*2048</f>
        <v>#VALUE!</v>
      </c>
      <c r="AP97" t="e">
        <f>M97*1024</f>
        <v>#VALUE!</v>
      </c>
      <c r="AQ97" t="e">
        <f>N97*512</f>
        <v>#VALUE!</v>
      </c>
      <c r="AR97" t="e">
        <f>O97*256</f>
        <v>#VALUE!</v>
      </c>
      <c r="AT97" t="e">
        <f>Q97*128</f>
        <v>#VALUE!</v>
      </c>
      <c r="AU97" t="e">
        <f>R97*64</f>
        <v>#VALUE!</v>
      </c>
      <c r="AV97" t="e">
        <f>S97*32</f>
        <v>#VALUE!</v>
      </c>
      <c r="AW97" t="e">
        <f>T97*16</f>
        <v>#VALUE!</v>
      </c>
      <c r="AY97" t="e">
        <f>V97*8</f>
        <v>#VALUE!</v>
      </c>
      <c r="AZ97" t="e">
        <f>W97*4</f>
        <v>#VALUE!</v>
      </c>
      <c r="BA97" t="e">
        <f>X97*2</f>
        <v>#VALUE!</v>
      </c>
      <c r="BB97" t="str">
        <f>Y97</f>
        <v/>
      </c>
    </row>
    <row r="98" spans="4:54" x14ac:dyDescent="0.3">
      <c r="AB98" s="1" t="str">
        <f>IF(AF100=1, "+/-65536","")</f>
        <v/>
      </c>
      <c r="AH98" s="11"/>
      <c r="AI98" s="7" t="str">
        <f>IF(G93=1, IF(AF100=1, "нужно перевести число в прямой код, а также", "нужно перевести число в прямой код"),"")</f>
        <v/>
      </c>
    </row>
    <row r="99" spans="4:54" x14ac:dyDescent="0.3">
      <c r="AA99" s="1" t="str">
        <f>IF(G93=1, "=","")</f>
        <v/>
      </c>
      <c r="AB99" t="str">
        <f>IF(AF100=1, IF(G93=1, AB97+AJ99, AB93+AJ99),"")</f>
        <v/>
      </c>
      <c r="AC99" s="2" t="str">
        <f>IF(AF100=1, "(10)","")</f>
        <v/>
      </c>
      <c r="AD99" s="1"/>
      <c r="AG99" s="3"/>
      <c r="AH99" s="13"/>
      <c r="AI99" s="7" t="str">
        <f>IF(AF100=1, "нужно учесть флаг OF и прибавить к/вычесть из","")</f>
        <v/>
      </c>
      <c r="AJ99">
        <f>IF(AB97&lt;0, 65536, -65536)</f>
        <v>-65536</v>
      </c>
    </row>
    <row r="100" spans="4:54" x14ac:dyDescent="0.3">
      <c r="G100" t="s">
        <v>52</v>
      </c>
      <c r="J100">
        <f>AJ92</f>
        <v>1</v>
      </c>
      <c r="L100" t="s">
        <v>53</v>
      </c>
      <c r="O100">
        <f>MOD(SUM(V93:Y93,Q93:T93, 1), 2)</f>
        <v>1</v>
      </c>
      <c r="Q100" t="s">
        <v>58</v>
      </c>
      <c r="T100">
        <f>AY92</f>
        <v>1</v>
      </c>
      <c r="V100" t="s">
        <v>59</v>
      </c>
      <c r="Y100">
        <f>IF(AB93=0, 1, 0)</f>
        <v>0</v>
      </c>
      <c r="AB100" t="s">
        <v>60</v>
      </c>
      <c r="AC100">
        <f>G93</f>
        <v>0</v>
      </c>
      <c r="AE100" t="s">
        <v>61</v>
      </c>
      <c r="AF100">
        <f>IF(AJ92=AK92, 0, 1)</f>
        <v>0</v>
      </c>
      <c r="AH100" s="11"/>
      <c r="AI100" s="7" t="str">
        <f>IF(AF100=1, "результату 65536 (2^16)","")</f>
        <v/>
      </c>
    </row>
    <row r="101" spans="4:54" x14ac:dyDescent="0.3"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</row>
  </sheetData>
  <conditionalFormatting sqref="G10:Y15">
    <cfRule type="cellIs" dxfId="0" priority="9" operator="equal">
      <formula>1</formula>
    </cfRule>
    <cfRule type="cellIs" dxfId="1" priority="8" operator="equal">
      <formula>1</formula>
    </cfRule>
    <cfRule type="cellIs" dxfId="2" priority="7" operator="equal">
      <formula>1</formula>
    </cfRule>
    <cfRule type="cellIs" dxfId="3" priority="6" operator="equal">
      <formula>1</formula>
    </cfRule>
    <cfRule type="cellIs" dxfId="4" priority="5" stopIfTrue="1" operator="equal">
      <formula>1</formula>
    </cfRule>
    <cfRule type="cellIs" dxfId="5" priority="4" operator="equal">
      <formula>1</formula>
    </cfRule>
    <cfRule type="cellIs" priority="10" stopIfTrue="1" operator="equal">
      <formula>1</formula>
    </cfRule>
    <cfRule type="cellIs" dxfId="6" priority="3" operator="equal">
      <formula>1</formula>
    </cfRule>
    <cfRule type="cellIs" priority="11" stopIfTrue="1" operator="equal">
      <formula>1</formula>
    </cfRule>
    <cfRule type="cellIs" priority="12" stopIfTrue="1" operator="equal">
      <formula>1</formula>
    </cfRule>
    <cfRule type="cellIs" dxfId="7" priority="2" operator="equal">
      <formula>1</formula>
    </cfRule>
    <cfRule type="cellIs" dxfId="8" priority="1" operator="equal">
      <formula>1</formula>
    </cfRule>
  </conditionalFormatting>
  <pageMargins left="0.7" right="0.7" top="0.75" bottom="0.75" header="0.3" footer="0.3"/>
  <pageSetup paperSize="9" orientation="portrait" verticalDpi="0" r:id="rId1"/>
  <headerFooter>
    <oddHeader xml:space="preserve">&amp;CХайкин Олег Игоревич, вариант 22, lab5
</oddHeader>
    <oddFooter>&amp;C20.11.2021 14:27:55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>
      <selection activeCell="O22" sqref="O22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Oleg</dc:creator>
  <cp:lastModifiedBy>Oleg</cp:lastModifiedBy>
  <dcterms:created xsi:type="dcterms:W3CDTF">2021-11-20T09:47:06Z</dcterms:created>
  <dcterms:modified xsi:type="dcterms:W3CDTF">2021-12-07T07:46:40Z</dcterms:modified>
</cp:coreProperties>
</file>